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comments8.xml" ContentType="application/vnd.openxmlformats-officedocument.spreadsheetml.comments+xml"/>
  <Override PartName="/xl/threadedComments/threadedComment8.xml" ContentType="application/vnd.ms-excel.threadedcomments+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9.xml" ContentType="application/vnd.openxmlformats-officedocument.drawing+xml"/>
  <Override PartName="/xl/comments9.xml" ContentType="application/vnd.openxmlformats-officedocument.spreadsheetml.comments+xml"/>
  <Override PartName="/xl/threadedComments/threadedComment9.xml" ContentType="application/vnd.ms-excel.threadedcomments+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mc:AlternateContent xmlns:mc="http://schemas.openxmlformats.org/markup-compatibility/2006">
    <mc:Choice Requires="x15">
      <x15ac:absPath xmlns:x15ac="http://schemas.microsoft.com/office/spreadsheetml/2010/11/ac" url="https://microstrategy-my.sharepoint.com/personal/apawelec_microstrategy_com/Documents/FP&amp;A folder/Investor Relations/Conferences/2024.07 BTC Nashville/Bitcoin24 FOR UPLOAD/"/>
    </mc:Choice>
  </mc:AlternateContent>
  <xr:revisionPtr revIDLastSave="477" documentId="10_ncr:8000_{CC8603FC-A101-4433-A73C-0B0BC434D16C}" xr6:coauthVersionLast="47" xr6:coauthVersionMax="47" xr10:uidLastSave="{BAA7F671-D5AE-49B1-B216-F1DB7622BCEB}"/>
  <bookViews>
    <workbookView xWindow="3620" yWindow="6040" windowWidth="29040" windowHeight="15720" tabRatio="804" xr2:uid="{548EA7C1-896D-43D0-91BC-F2D3C757C811}"/>
  </bookViews>
  <sheets>
    <sheet name="Cover" sheetId="15" r:id="rId1"/>
    <sheet name="BTC" sheetId="16" r:id="rId2"/>
    <sheet name="Macro" sheetId="1" r:id="rId3"/>
    <sheet name="Individual" sheetId="3" r:id="rId4"/>
    <sheet name="Corporate" sheetId="5" r:id="rId5"/>
    <sheet name="Institution" sheetId="7" r:id="rId6"/>
    <sheet name="Indebted Nation" sheetId="12" r:id="rId7"/>
    <sheet name="Wealthy Nation" sheetId="8" r:id="rId8"/>
    <sheet name="United States" sheetId="9" r:id="rId9"/>
  </sheets>
  <definedNames>
    <definedName name="_bdm.0049a8e20a8040eb889cd855b0eec9ed.edm" localSheetId="2" hidden="1">Macro!$AB$1</definedName>
    <definedName name="_bdm.013ec66741664470a674c680d2a86687.edm" localSheetId="4" hidden="1">Corporate!$AA$104</definedName>
    <definedName name="_bdm.013ec66741664470a674c680d2a86687.edm" localSheetId="6" hidden="1">'Indebted Nation'!$AA$28</definedName>
    <definedName name="_bdm.013ec66741664470a674c680d2a86687.edm" localSheetId="8" hidden="1">'United States'!$AA$36</definedName>
    <definedName name="_bdm.013ec66741664470a674c680d2a86687.edm" localSheetId="7" hidden="1">'Wealthy Nation'!$AA$28</definedName>
    <definedName name="_bdm.018b8aff6ef34a708a368ab8510119a6.edm" localSheetId="2" hidden="1">Macro!#REF!</definedName>
    <definedName name="_bdm.02ea3b0af15d47a1a5ace0e562eba5b3.edm" localSheetId="2" hidden="1">Macro!$AK$2</definedName>
    <definedName name="_bdm.0475e0b0bce544168b16aa2072a5c457.edm" hidden="1">Macro!$1:$1048576</definedName>
    <definedName name="_bdm.05c6b60aef6e4c2d90f191dd0c859e93.edm" localSheetId="2" hidden="1">Macro!$I$2</definedName>
    <definedName name="_bdm.05f11a4ea9c3421099ed927df15047dd.edm" localSheetId="2" hidden="1">Macro!$Z$2</definedName>
    <definedName name="_bdm.065363df3e404ca1a09f7cbe2619655c.edm" localSheetId="2" hidden="1">Macro!#REF!</definedName>
    <definedName name="_bdm.06c674f9e9534c259e1aeb351a386be2.edm" localSheetId="2" hidden="1">Macro!#REF!</definedName>
    <definedName name="_bdm.06f60328932c4b9ba9b2065767952670.edm" localSheetId="2" hidden="1">Macro!#REF!</definedName>
    <definedName name="_bdm.06f6f531d15a4f9fbac8f17280a3830e.edm" localSheetId="2" hidden="1">Macro!$AM$2</definedName>
    <definedName name="_bdm.0a5a74caf834457f959c9243df7a1ff2.edm" localSheetId="2" hidden="1">Macro!$K$2</definedName>
    <definedName name="_bdm.0c394c1720a04baca280f39cb6a6c9bb.edm" localSheetId="2" hidden="1">Macro!$AC$1</definedName>
    <definedName name="_bdm.10ed13c702114e38a170a0bb78aa7adf.edm" localSheetId="2" hidden="1">Macro!#REF!</definedName>
    <definedName name="_bdm.119e1eeed9c344b0ae7d34fd8b244d42.edm" localSheetId="2" hidden="1">Macro!#REF!</definedName>
    <definedName name="_bdm.124739df99da439dace9d84cc03decc7.edm" localSheetId="2" hidden="1">Macro!$AP$2</definedName>
    <definedName name="_bdm.137a032febba4015956a3fabc859b1ab.edm" localSheetId="2" hidden="1">Macro!$T$2</definedName>
    <definedName name="_bdm.1380dadf13c0407483f4e5bb420b05f5.edm" localSheetId="2" hidden="1">Macro!#REF!</definedName>
    <definedName name="_bdm.14c5b48005d444018d7107ad6cc687ed.edm" localSheetId="2" hidden="1">Macro!$AA$1</definedName>
    <definedName name="_bdm.16cc42b0444d45d096cebc8cd8e5da8d.edm" localSheetId="2" hidden="1">Macro!#REF!</definedName>
    <definedName name="_bdm.18bbd2a1e90b47cb86c8aafb2d8608e5.edm" localSheetId="2" hidden="1">Macro!$AC$2</definedName>
    <definedName name="_bdm.190afd5f77484ce79532bcf2a6e52402.edm" localSheetId="2" hidden="1">Macro!$L$2</definedName>
    <definedName name="_bdm.1a520171ec5b4388bd03a2f850014061.edm" localSheetId="2" hidden="1">Macro!$X$2</definedName>
    <definedName name="_bdm.1a567d03fc3f490ead484610614e3773.edm" localSheetId="2" hidden="1">Macro!$C$2</definedName>
    <definedName name="_bdm.1bacce9722814a6087fc1dbf04926055.edm" localSheetId="2" hidden="1">Macro!#REF!</definedName>
    <definedName name="_bdm.1f4fda5afa194068a58c1895c773e2ec.edm" localSheetId="2" hidden="1">Macro!#REF!</definedName>
    <definedName name="_bdm.225e243eac064353bba2ef151c7b1a98.edm" localSheetId="2" hidden="1">Macro!#REF!</definedName>
    <definedName name="_bdm.261c1dbe4d9c449ab8a054491e367fff.edm" localSheetId="2" hidden="1">Macro!#REF!</definedName>
    <definedName name="_bdm.265eab002bda48c4a5cc552159aebcb6.edm" localSheetId="2" hidden="1">Macro!$AI$1</definedName>
    <definedName name="_bdm.2667736f498c446c878d59ec1639b314.edm" localSheetId="2" hidden="1">Macro!$AL$1</definedName>
    <definedName name="_bdm.26beb6f9c018462c8c41868729ee3208.edm" localSheetId="2" hidden="1">Macro!$AN$2</definedName>
    <definedName name="_bdm.287d3308cea44610bb8f89dc22ae1ccf.edm" localSheetId="2" hidden="1">Macro!$AR$2</definedName>
    <definedName name="_bdm.29e9fef357654dc0bbbaa8e88a78b245.edm" localSheetId="2" hidden="1">Macro!$E$1</definedName>
    <definedName name="_bdm.2ab724a0a1dd4088addafb414d983e0e.edm" localSheetId="2" hidden="1">Macro!$AQ$1</definedName>
    <definedName name="_bdm.2b6c6c1ffc474926b9377c5cd3b262e0.edm" localSheetId="2" hidden="1">Macro!$O$1</definedName>
    <definedName name="_bdm.2c0bc869a6524d06946c63d914ca1ca6.edm" localSheetId="2" hidden="1">Macro!#REF!</definedName>
    <definedName name="_bdm.2c6a7b2e71dc40c7939254839f8741a1.edm" localSheetId="2" hidden="1">Macro!#REF!</definedName>
    <definedName name="_bdm.2f0c884b092344e8a28a5460d88a3216.edm" localSheetId="2" hidden="1">Macro!$AG$2</definedName>
    <definedName name="_bdm.30b989f20c22493e8025d90d19a437a7.edm" localSheetId="2" hidden="1">Macro!$U$1</definedName>
    <definedName name="_bdm.31b063bd9daf4bf18d79f9bb1b868c72.edm" localSheetId="2" hidden="1">Macro!#REF!</definedName>
    <definedName name="_bdm.32fcf1a801284481b63aee5cc6049692.edm" localSheetId="2" hidden="1">Macro!#REF!</definedName>
    <definedName name="_bdm.3337f0db7d79495c8ab765a5f4dec183.edm" localSheetId="2" hidden="1">Macro!$AE$1</definedName>
    <definedName name="_bdm.35219672dddd483783bc413f334114fe.edm" localSheetId="2" hidden="1">Macro!$D$2</definedName>
    <definedName name="_bdm.3560b8ba9d684d27b9da208a1eefad7e.edm" localSheetId="4" hidden="1">Corporate!#REF!</definedName>
    <definedName name="_bdm.3560b8ba9d684d27b9da208a1eefad7e.edm" localSheetId="6" hidden="1">'Indebted Nation'!#REF!</definedName>
    <definedName name="_bdm.3560b8ba9d684d27b9da208a1eefad7e.edm" localSheetId="8" hidden="1">'United States'!#REF!</definedName>
    <definedName name="_bdm.3560b8ba9d684d27b9da208a1eefad7e.edm" localSheetId="7" hidden="1">'Wealthy Nation'!#REF!</definedName>
    <definedName name="_bdm.368dda4df99b42b49b8f89392baa040c.edm" localSheetId="2" hidden="1">Macro!$T$1</definedName>
    <definedName name="_bdm.378e86b4177340f985bbd0183bfbc5a6.edm" localSheetId="2" hidden="1">Macro!$H$1</definedName>
    <definedName name="_bdm.3a25d893726b4613b900bfc0c603b901.edm" localSheetId="2" hidden="1">Macro!$Q$1</definedName>
    <definedName name="_bdm.3e4383de02e846478301fa458a078e13.edm" localSheetId="2" hidden="1">Macro!$F$1</definedName>
    <definedName name="_bdm.41f6f46b5d0c479dbbb53a7dd6a7b1b1.edm" localSheetId="2" hidden="1">Macro!$M$1</definedName>
    <definedName name="_bdm.4487fde0b3ea4179981b804f6f1ae52f.edm" localSheetId="2" hidden="1">Macro!$V$1</definedName>
    <definedName name="_bdm.44dd05537e5f4b7c9aeb37bae310351e.edm" localSheetId="2" hidden="1">Macro!$Y$1</definedName>
    <definedName name="_bdm.47c2c8349d534da3873c3f5b8baa40cb.edm" localSheetId="2" hidden="1">Macro!$S$2</definedName>
    <definedName name="_bdm.4b0959a836824d86be6a3137d07dee63.edm" localSheetId="2" hidden="1">Macro!$B$1</definedName>
    <definedName name="_bdm.4be38086923447c1b9b21e04a9942565.edm" localSheetId="2" hidden="1">Macro!$G$1</definedName>
    <definedName name="_bdm.4d1da8974fb240d89136e3b54354227d.edm" localSheetId="2" hidden="1">Macro!$W$1</definedName>
    <definedName name="_bdm.502208e0c0c84add8167d7cd8d3d1a55.edm" localSheetId="2" hidden="1">Macro!#REF!</definedName>
    <definedName name="_bdm.514a6bc283ed4b5899e33a4efc11e200.edm" localSheetId="2" hidden="1">Macro!$Z$1</definedName>
    <definedName name="_bdm.536ca1f4f1d54ce8b1541e55e5c9e796.edm" localSheetId="2" hidden="1">Macro!#REF!</definedName>
    <definedName name="_bdm.54a4a49d383e471789c5da2f80310518.edm" localSheetId="2" hidden="1">Macro!$J$2</definedName>
    <definedName name="_bdm.5618f300b40c4d07afb32183103dd6f7.edm" localSheetId="2" hidden="1">Macro!$AO$2</definedName>
    <definedName name="_bdm.57fc037c67564df4bee99368cd1cefb0.edm" localSheetId="2" hidden="1">Macro!$W$2</definedName>
    <definedName name="_bdm.58b38ff7a7c443debf637888e890debb.edm" localSheetId="2" hidden="1">Macro!#REF!</definedName>
    <definedName name="_bdm.58b9daad1b3549298046ff89d995cadb.edm" localSheetId="2" hidden="1">Macro!#REF!</definedName>
    <definedName name="_bdm.58cf434a20834c48ba435ce337264d51.edm" localSheetId="2" hidden="1">Macro!$AO$1</definedName>
    <definedName name="_bdm.5ae86ae13194461a994d883fb8d87ee7.edm" localSheetId="2" hidden="1">Macro!$F$2</definedName>
    <definedName name="_bdm.5ce6d51482da4f17ad95644afca47cc9.edm" localSheetId="2" hidden="1">Macro!#REF!</definedName>
    <definedName name="_bdm.5ec456e9bee54b47a876d4cb89d9ac37.edm" localSheetId="2" hidden="1">Macro!$N$2</definedName>
    <definedName name="_bdm.619f7e463d084ed7a7d6b414ec475298.edm" localSheetId="2" hidden="1">Macro!#REF!</definedName>
    <definedName name="_bdm.666c87ddb84b43c69ebfe3afb10459cb.edm" localSheetId="2" hidden="1">Macro!$AH$2</definedName>
    <definedName name="_bdm.66aacc27493e44cebcbc0e4813d54ec5.edm" localSheetId="2" hidden="1">Macro!$X$1</definedName>
    <definedName name="_bdm.687acccd79424994abd534fb51df1392.edm" localSheetId="2" hidden="1">Macro!$AQ$2</definedName>
    <definedName name="_bdm.6a88fa1f97f0410e9a64fa090f8cf036.edm" localSheetId="2" hidden="1">Macro!$AR$1</definedName>
    <definedName name="_bdm.6dfce13b099f40dab32733e297a69888.edm" localSheetId="2" hidden="1">Macro!$B$2</definedName>
    <definedName name="_bdm.6e406564e0fc444fb593be320f311ba5.edm" localSheetId="2" hidden="1">Macro!$U$2</definedName>
    <definedName name="_bdm.72ba91f751424e81b1eccb204ff92c04.edm" localSheetId="2" hidden="1">Macro!$E$2</definedName>
    <definedName name="_bdm.756e57da021a4312a23b0c2f3eb73319.edm" localSheetId="2" hidden="1">Macro!#REF!</definedName>
    <definedName name="_bdm.77d5141f1b3f48bf9ac9f579973e1298.edm" localSheetId="2" hidden="1">Macro!$C$4</definedName>
    <definedName name="_bdm.796d1035697a4724a7bfc4b19f90cc10.edm" localSheetId="2" hidden="1">Macro!$P$2</definedName>
    <definedName name="_bdm.7b80da9e652845449aac21b15242806e.edm" localSheetId="2" hidden="1">Macro!#REF!</definedName>
    <definedName name="_bdm.7be396a1751e4ecaac49a77da2ccc494.edm" localSheetId="2" hidden="1">Macro!$AI$2</definedName>
    <definedName name="_bdm.7ea7f571cfb24bc385a9f72f68add9f2.edm" localSheetId="2" hidden="1">Macro!#REF!</definedName>
    <definedName name="_bdm.80ef17f6f4e740d7be1c4cc4fac829b3.edm" localSheetId="2" hidden="1">Macro!#REF!</definedName>
    <definedName name="_bdm.82be5cf196f14d3ab7e42b666867134a.edm" localSheetId="2" hidden="1">Macro!$AF$1</definedName>
    <definedName name="_bdm.8bbd3ee304354a37969dd4d484f9559a.edm" localSheetId="2" hidden="1">Macro!$R$1</definedName>
    <definedName name="_bdm.8e919867fd134c6bb152e7f132c14766.edm" localSheetId="2" hidden="1">Macro!$J$1</definedName>
    <definedName name="_bdm.905023897f774c02b2ab4c1a7f9f19a2.edm" localSheetId="2" hidden="1">Macro!$AF$2</definedName>
    <definedName name="_bdm.90e4186ff46940b992238ff3734e5bc9.edm" localSheetId="2" hidden="1">Macro!#REF!</definedName>
    <definedName name="_bdm.91281a1a5c4545b5b2b395cad7ec723e.edm" localSheetId="2" hidden="1">Macro!$N$1</definedName>
    <definedName name="_bdm.91e9e00cb03a478eac6926c0696a614a.edm" localSheetId="2" hidden="1">Macro!$G$2</definedName>
    <definedName name="_bdm.922ddf4cb0fa499d8b08ab7ddf48964b.edm" localSheetId="2" hidden="1">Macro!#REF!</definedName>
    <definedName name="_bdm.9279748a9f224ceba4167d6c18972be6.edm" localSheetId="2" hidden="1">Macro!$Q$2</definedName>
    <definedName name="_bdm.93add03dbf254648bbab6c67544a9133.edm" localSheetId="2" hidden="1">Macro!#REF!</definedName>
    <definedName name="_bdm.948d1c7ece31431a8aa1ffdc7266ed3e.edm" localSheetId="2" hidden="1">Macro!$R$2</definedName>
    <definedName name="_bdm.9be5477fbd2a4deebeb05c800e13fded.edm" localSheetId="2" hidden="1">Macro!$AJ$2</definedName>
    <definedName name="_bdm.a1e094a5e82042f7aabd9e3fac1ec8c5.edm" localSheetId="2" hidden="1">Macro!$AB$2</definedName>
    <definedName name="_bdm.a2a2382d229a4fae80a733334f94d6aa.edm" localSheetId="2" hidden="1">Macro!#REF!</definedName>
    <definedName name="_bdm.a4c7aca36f3c486497b541b53a986e1a.edm" localSheetId="2" hidden="1">Macro!#REF!</definedName>
    <definedName name="_bdm.a8557ce6855c413bb56366b0c87997bf.edm" localSheetId="2" hidden="1">Macro!$AD$2</definedName>
    <definedName name="_bdm.a87d355ac76640af9136198d73b921a4.edm" localSheetId="2" hidden="1">Macro!$AP$1</definedName>
    <definedName name="_bdm.a8de94a2977a4e1f8602eaf126bef98c.edm" localSheetId="2" hidden="1">Macro!$M$2</definedName>
    <definedName name="_bdm.aa73ce70a85d47db868d65419348553c.edm" localSheetId="2" hidden="1">Macro!#REF!</definedName>
    <definedName name="_bdm.aa9846a8ef614b2f8ec45c7af8d7a61c.edm" localSheetId="2" hidden="1">Macro!$O$2</definedName>
    <definedName name="_bdm.af802f7ab0aa45f98167a9743d537974.edm" localSheetId="2" hidden="1">Macro!#REF!</definedName>
    <definedName name="_bdm.b1b41b1302ed45a2bdd74b7a4e3d426f.edm" localSheetId="2" hidden="1">Macro!$K$1</definedName>
    <definedName name="_bdm.b3a164f5dc4a421ea7d6b6bb60b079bc.edm" localSheetId="2" hidden="1">Macro!$AE$2</definedName>
    <definedName name="_bdm.bc6e69f513f5433387a7068a6f42dd72.edm" localSheetId="2" hidden="1">Macro!#REF!</definedName>
    <definedName name="_bdm.be2a239385a04ea283cc535e63244754.edm" localSheetId="2" hidden="1">Macro!$D$1</definedName>
    <definedName name="_bdm.be61f2fae07141b8b40c92d45e6ff01c.edm" localSheetId="2" hidden="1">Macro!#REF!</definedName>
    <definedName name="_bdm.bfb8a8b5d10a4d48a51c78f7e5950900.edm" localSheetId="2" hidden="1">Macro!#REF!</definedName>
    <definedName name="_bdm.c06c5aa4e1894a929f64ba1705057c99.edm" localSheetId="2" hidden="1">Macro!$AA$2</definedName>
    <definedName name="_bdm.c1bb5dc0766344269723e8f57f216d86.edm" localSheetId="2" hidden="1">Macro!#REF!</definedName>
    <definedName name="_bdm.c5947e3962a24c358aee0b1fde60e64b.edm" localSheetId="6" hidden="1">'Indebted Nation'!$1:$1048576</definedName>
    <definedName name="_bdm.c5947e3962a24c358aee0b1fde60e64b.edm" localSheetId="8" hidden="1">'United States'!$1:$1048576</definedName>
    <definedName name="_bdm.c5947e3962a24c358aee0b1fde60e64b.edm" localSheetId="7" hidden="1">'Wealthy Nation'!$1:$1048576</definedName>
    <definedName name="_bdm.c5947e3962a24c358aee0b1fde60e64b.edm" hidden="1">Corporate!$1:$1048576</definedName>
    <definedName name="_bdm.c59882d0259a414c8ee03d2e0f7860c3.edm" localSheetId="2" hidden="1">Macro!#REF!</definedName>
    <definedName name="_bdm.c8497ed816b0409eabe38fded74efd3a.edm" localSheetId="2" hidden="1">Macro!#REF!</definedName>
    <definedName name="_bdm.cbd04834196d4810add66aab53fb427b.edm" localSheetId="2" hidden="1">Macro!$AL$2</definedName>
    <definedName name="_bdm.cd52c7152a75431c9ebe3d423a015899.edm" localSheetId="2" hidden="1">Macro!#REF!</definedName>
    <definedName name="_bdm.ce59a5eea2234da195983ad7810caddb.edm" localSheetId="2" hidden="1">Macro!#REF!</definedName>
    <definedName name="_bdm.d1ed71397b204e7f9c793d6785d587fa.edm" localSheetId="2" hidden="1">Macro!$P$1</definedName>
    <definedName name="_bdm.d615688b912548f18c750b91c60813ca.edm" localSheetId="2" hidden="1">Macro!$AM$1</definedName>
    <definedName name="_bdm.d859fdbc6ca04bca92a0c66481ae7377.edm" localSheetId="2" hidden="1">Macro!$H$2</definedName>
    <definedName name="_bdm.da0def36bc484705ba70e58c874cf142.edm" localSheetId="2" hidden="1">Macro!#REF!</definedName>
    <definedName name="_bdm.dbfe3d1826384aefa28ad938871258ad.edm" localSheetId="2" hidden="1">Macro!#REF!</definedName>
    <definedName name="_bdm.e262decb413b41278181cf52d53ea035.edm" localSheetId="2" hidden="1">Macro!$AG$1</definedName>
    <definedName name="_bdm.e391ad267e704fc58bca6dda5e7101c2.edm" localSheetId="2" hidden="1">Macro!$Y$2</definedName>
    <definedName name="_bdm.e3ad7b5049014aa18de37443547050b5.edm" localSheetId="2" hidden="1">Macro!#REF!</definedName>
    <definedName name="_bdm.e5165182868e42b4971cb9efc69c926d.edm" localSheetId="2" hidden="1">Macro!$AH$1</definedName>
    <definedName name="_bdm.e842ab727a764ae4beaa4190d08bf95d.edm" localSheetId="2" hidden="1">Macro!#REF!</definedName>
    <definedName name="_bdm.eeaa878136d64660aceeec5ca6c358ea.edm" localSheetId="2" hidden="1">Macro!$AK$1</definedName>
    <definedName name="_bdm.ef03d31ed8cc47f4a188eded71e1aec5.edm" localSheetId="2" hidden="1">Macro!$V$2</definedName>
    <definedName name="_bdm.f11af5ca4e724819942ee4f3a411330e.edm" localSheetId="2" hidden="1">Macro!#REF!</definedName>
    <definedName name="_bdm.f2adb190fbb048828bcdbf8c1627014a.edm" localSheetId="2" hidden="1">Macro!#REF!</definedName>
    <definedName name="_bdm.f3d9d5bf03624e788ad366482bddc6bb.edm" localSheetId="2" hidden="1">Macro!$AD$1</definedName>
    <definedName name="_bdm.f5436c485d454245bd50469ff9dbd191.edm" localSheetId="2" hidden="1">Macro!$AN$1</definedName>
    <definedName name="_bdm.f6ac02298ba04760b366cd6a99184be3.edm" localSheetId="2" hidden="1">Macro!#REF!</definedName>
    <definedName name="_bdm.fa413b3320f3438281fd67d93cbcc91e.edm" localSheetId="2" hidden="1">Macro!$L$1</definedName>
    <definedName name="_bdm.fcec1515bf474b859b5d6bc224330a68.edm" localSheetId="2" hidden="1">Macro!$AJ$1</definedName>
    <definedName name="_bdm.fdcb936686d64598b7ced728693ced0e.edm" localSheetId="2" hidden="1">Macro!#REF!</definedName>
    <definedName name="_bdm.ff927ec1f46c443e9ae75e3873e15528.edm" localSheetId="2" hidden="1">Macro!#REF!</definedName>
    <definedName name="_xlchart.v1.0" hidden="1">Macro!$AK$8:$AK$15</definedName>
    <definedName name="_xlchart.v1.1" hidden="1">Macro!$AL$8:$AL$15</definedName>
    <definedName name="CaseOptions">BTC!$E$6:$G$6</definedName>
    <definedName name="_xlnm.Print_Area" localSheetId="1">BTC!$A$1:$W$36</definedName>
    <definedName name="_xlnm.Print_Area" localSheetId="4">Corporate!$A$1:$AR$99</definedName>
    <definedName name="_xlnm.Print_Area" localSheetId="0">Cover!$A$1:$H$17</definedName>
    <definedName name="_xlnm.Print_Area" localSheetId="6">'Indebted Nation'!$A$1:$AF$92</definedName>
    <definedName name="_xlnm.Print_Area" localSheetId="3">Individual!$A$1:$AO$83</definedName>
    <definedName name="_xlnm.Print_Area" localSheetId="5">Institution!$A$1:$AS$87</definedName>
    <definedName name="_xlnm.Print_Area" localSheetId="2">Macro!$A$1:$AR$37</definedName>
    <definedName name="_xlnm.Print_Area" localSheetId="8">'United States'!$A$1:$AI$106</definedName>
    <definedName name="_xlnm.Print_Area" localSheetId="7">'Wealthy Nation'!$A$1:$AG$91</definedName>
    <definedName name="SelectedCase">BTC!$D$6</definedName>
  </definedNames>
  <calcPr calcId="191028" calcMode="autoNoTable" iterate="1"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8" i="5" l="1"/>
  <c r="C81" i="1"/>
  <c r="AJ1" i="9"/>
  <c r="AJ1" i="8"/>
  <c r="AG1" i="7"/>
  <c r="AJ1" i="5"/>
  <c r="AG1" i="3"/>
  <c r="AJ1" i="12"/>
  <c r="AE4" i="3"/>
  <c r="AK6" i="3"/>
  <c r="AK7" i="3" s="1"/>
  <c r="AK8" i="3" s="1"/>
  <c r="O9" i="3"/>
  <c r="AA11" i="3"/>
  <c r="AA13" i="3" s="1"/>
  <c r="T14" i="3"/>
  <c r="Y14" i="3"/>
  <c r="J15" i="3"/>
  <c r="O15" i="3" s="1"/>
  <c r="T15" i="3" s="1"/>
  <c r="D19" i="3"/>
  <c r="AG19" i="3" s="1"/>
  <c r="D28" i="3"/>
  <c r="AA14" i="3" l="1"/>
  <c r="D32" i="3" s="1"/>
  <c r="E32" i="3" s="1"/>
  <c r="AA15" i="3"/>
  <c r="D20" i="3" s="1"/>
  <c r="E20" i="3" s="1"/>
  <c r="F20" i="3" s="1"/>
  <c r="AK9" i="3"/>
  <c r="AA12" i="3"/>
  <c r="C4" i="1"/>
  <c r="D21" i="8"/>
  <c r="D21" i="12"/>
  <c r="AJ6" i="9"/>
  <c r="AJ7" i="9" s="1"/>
  <c r="AJ8" i="9" s="1"/>
  <c r="AJ9" i="9" s="1"/>
  <c r="D16" i="9"/>
  <c r="AJ6" i="8"/>
  <c r="D19" i="8"/>
  <c r="O8" i="8"/>
  <c r="D41" i="12"/>
  <c r="D25" i="12"/>
  <c r="D24" i="12"/>
  <c r="O8" i="12"/>
  <c r="AJ10" i="9" l="1"/>
  <c r="AJ7" i="8"/>
  <c r="AA32" i="3"/>
  <c r="F32" i="3"/>
  <c r="AA20" i="3"/>
  <c r="G20" i="3"/>
  <c r="AK10" i="3"/>
  <c r="D29" i="3"/>
  <c r="D30" i="3"/>
  <c r="D27" i="3"/>
  <c r="AJ7" i="7"/>
  <c r="AJ8" i="7" s="1"/>
  <c r="D30" i="7"/>
  <c r="O10" i="7"/>
  <c r="AJ7" i="5"/>
  <c r="AJ8" i="5" s="1"/>
  <c r="D119" i="5"/>
  <c r="D9" i="5"/>
  <c r="AE5" i="5"/>
  <c r="D114" i="5"/>
  <c r="D7" i="5"/>
  <c r="AJ11" i="9" l="1"/>
  <c r="AJ8" i="8"/>
  <c r="G32" i="3"/>
  <c r="H32" i="3" s="1"/>
  <c r="AK11" i="3"/>
  <c r="H20" i="3"/>
  <c r="AJ9" i="7"/>
  <c r="AJ9" i="5"/>
  <c r="AJ13" i="9" l="1"/>
  <c r="AJ9" i="8"/>
  <c r="I32" i="3"/>
  <c r="I20" i="3"/>
  <c r="AK12" i="3"/>
  <c r="AJ10" i="7"/>
  <c r="AJ10" i="5"/>
  <c r="B15" i="16"/>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AJ14" i="9" l="1"/>
  <c r="AJ10" i="8"/>
  <c r="J32" i="3"/>
  <c r="AK13" i="3"/>
  <c r="J20" i="3"/>
  <c r="AJ11" i="7"/>
  <c r="AJ11" i="5"/>
  <c r="D42" i="1"/>
  <c r="E42" i="1" s="1"/>
  <c r="F42" i="1" s="1"/>
  <c r="G42" i="1" s="1"/>
  <c r="H42" i="1" s="1"/>
  <c r="I42" i="1" s="1"/>
  <c r="J42" i="1" s="1"/>
  <c r="K42" i="1" s="1"/>
  <c r="L42" i="1" s="1"/>
  <c r="M42" i="1" s="1"/>
  <c r="N42" i="1" s="1"/>
  <c r="O42" i="1" s="1"/>
  <c r="P42" i="1" s="1"/>
  <c r="Q42" i="1" s="1"/>
  <c r="R42" i="1" s="1"/>
  <c r="S42" i="1" s="1"/>
  <c r="T42" i="1" s="1"/>
  <c r="U42" i="1" s="1"/>
  <c r="V42" i="1" s="1"/>
  <c r="W42" i="1" s="1"/>
  <c r="X42" i="1" s="1"/>
  <c r="C79" i="1"/>
  <c r="C80" i="1"/>
  <c r="D75" i="1"/>
  <c r="E29" i="3" s="1"/>
  <c r="D76" i="1"/>
  <c r="E30" i="3" s="1"/>
  <c r="D63" i="1"/>
  <c r="D64" i="1"/>
  <c r="D65" i="1"/>
  <c r="D66" i="1"/>
  <c r="D45" i="1"/>
  <c r="D46" i="1"/>
  <c r="D47" i="1"/>
  <c r="D48" i="1"/>
  <c r="D49" i="1"/>
  <c r="D50" i="1"/>
  <c r="C40" i="1"/>
  <c r="C41" i="1"/>
  <c r="C20" i="1"/>
  <c r="D24" i="3" s="1"/>
  <c r="D26" i="3" s="1"/>
  <c r="AA29" i="3" l="1"/>
  <c r="AA30" i="3"/>
  <c r="D31" i="3"/>
  <c r="D22" i="3"/>
  <c r="D23" i="3"/>
  <c r="AJ15" i="9"/>
  <c r="AJ11" i="8"/>
  <c r="AB20" i="3"/>
  <c r="K20" i="3"/>
  <c r="AK14" i="3"/>
  <c r="K32" i="3"/>
  <c r="AB32" i="3"/>
  <c r="AJ12" i="7"/>
  <c r="AJ12" i="5"/>
  <c r="D24" i="8"/>
  <c r="D25" i="8"/>
  <c r="E75" i="1"/>
  <c r="F75" i="1" s="1"/>
  <c r="G75" i="1" s="1"/>
  <c r="H75" i="1" s="1"/>
  <c r="I75" i="1" s="1"/>
  <c r="J75" i="1" s="1"/>
  <c r="K75" i="1" s="1"/>
  <c r="L75" i="1" s="1"/>
  <c r="M75" i="1" s="1"/>
  <c r="N75" i="1" s="1"/>
  <c r="O75" i="1" s="1"/>
  <c r="P75" i="1" s="1"/>
  <c r="Q75" i="1" s="1"/>
  <c r="R75" i="1" s="1"/>
  <c r="S75" i="1" s="1"/>
  <c r="T75" i="1" s="1"/>
  <c r="U75" i="1" s="1"/>
  <c r="V75" i="1" s="1"/>
  <c r="W75" i="1" s="1"/>
  <c r="X75" i="1" s="1"/>
  <c r="E76" i="1"/>
  <c r="F76" i="1" s="1"/>
  <c r="G76" i="1" s="1"/>
  <c r="H76" i="1" s="1"/>
  <c r="I76" i="1" s="1"/>
  <c r="J76" i="1" s="1"/>
  <c r="K76" i="1" s="1"/>
  <c r="L76" i="1" s="1"/>
  <c r="M76" i="1" s="1"/>
  <c r="N76" i="1" s="1"/>
  <c r="O76" i="1" s="1"/>
  <c r="P76" i="1" s="1"/>
  <c r="Q76" i="1" s="1"/>
  <c r="R76" i="1" s="1"/>
  <c r="S76" i="1" s="1"/>
  <c r="T76" i="1" s="1"/>
  <c r="U76" i="1" s="1"/>
  <c r="V76" i="1" s="1"/>
  <c r="W76" i="1" s="1"/>
  <c r="X76" i="1" s="1"/>
  <c r="E63" i="1"/>
  <c r="F63" i="1" s="1"/>
  <c r="G63" i="1" s="1"/>
  <c r="H63" i="1" s="1"/>
  <c r="I63" i="1" s="1"/>
  <c r="J63" i="1" s="1"/>
  <c r="K63" i="1" s="1"/>
  <c r="L63" i="1" s="1"/>
  <c r="M63" i="1" s="1"/>
  <c r="N63" i="1" s="1"/>
  <c r="O63" i="1" s="1"/>
  <c r="P63" i="1" s="1"/>
  <c r="Q63" i="1" s="1"/>
  <c r="R63" i="1" s="1"/>
  <c r="S63" i="1" s="1"/>
  <c r="T63" i="1" s="1"/>
  <c r="U63" i="1" s="1"/>
  <c r="V63" i="1" s="1"/>
  <c r="W63" i="1" s="1"/>
  <c r="X63" i="1" s="1"/>
  <c r="E64" i="1"/>
  <c r="F64" i="1" s="1"/>
  <c r="G64" i="1" s="1"/>
  <c r="H64" i="1" s="1"/>
  <c r="I64" i="1" s="1"/>
  <c r="J64" i="1" s="1"/>
  <c r="K64" i="1" s="1"/>
  <c r="L64" i="1" s="1"/>
  <c r="M64" i="1" s="1"/>
  <c r="N64" i="1" s="1"/>
  <c r="O64" i="1" s="1"/>
  <c r="P64" i="1" s="1"/>
  <c r="Q64" i="1" s="1"/>
  <c r="R64" i="1" s="1"/>
  <c r="S64" i="1" s="1"/>
  <c r="T64" i="1" s="1"/>
  <c r="U64" i="1" s="1"/>
  <c r="V64" i="1" s="1"/>
  <c r="W64" i="1" s="1"/>
  <c r="X64" i="1" s="1"/>
  <c r="E65" i="1"/>
  <c r="F65" i="1" s="1"/>
  <c r="G65" i="1" s="1"/>
  <c r="H65" i="1" s="1"/>
  <c r="I65" i="1" s="1"/>
  <c r="J65" i="1" s="1"/>
  <c r="K65" i="1" s="1"/>
  <c r="L65" i="1" s="1"/>
  <c r="M65" i="1" s="1"/>
  <c r="N65" i="1" s="1"/>
  <c r="O65" i="1" s="1"/>
  <c r="P65" i="1" s="1"/>
  <c r="Q65" i="1" s="1"/>
  <c r="R65" i="1" s="1"/>
  <c r="S65" i="1" s="1"/>
  <c r="T65" i="1" s="1"/>
  <c r="U65" i="1" s="1"/>
  <c r="V65" i="1" s="1"/>
  <c r="W65" i="1" s="1"/>
  <c r="X65" i="1" s="1"/>
  <c r="E66" i="1"/>
  <c r="F66" i="1" s="1"/>
  <c r="G66" i="1" s="1"/>
  <c r="H66" i="1" s="1"/>
  <c r="I66" i="1" s="1"/>
  <c r="J66" i="1" s="1"/>
  <c r="K66" i="1" s="1"/>
  <c r="L66" i="1" s="1"/>
  <c r="M66" i="1" s="1"/>
  <c r="N66" i="1" s="1"/>
  <c r="O66" i="1" s="1"/>
  <c r="P66" i="1" s="1"/>
  <c r="Q66" i="1" s="1"/>
  <c r="R66" i="1" s="1"/>
  <c r="S66" i="1" s="1"/>
  <c r="T66" i="1" s="1"/>
  <c r="U66" i="1" s="1"/>
  <c r="V66" i="1" s="1"/>
  <c r="W66" i="1" s="1"/>
  <c r="X66" i="1" s="1"/>
  <c r="F30" i="3" l="1"/>
  <c r="G30" i="3" s="1"/>
  <c r="H30" i="3" s="1"/>
  <c r="I30" i="3" s="1"/>
  <c r="AG26" i="3"/>
  <c r="D33" i="3"/>
  <c r="AG28" i="3"/>
  <c r="AG30" i="3"/>
  <c r="AG31" i="3"/>
  <c r="AG27" i="3"/>
  <c r="AG29" i="3"/>
  <c r="F29" i="3"/>
  <c r="G29" i="3" s="1"/>
  <c r="H29" i="3" s="1"/>
  <c r="I29" i="3" s="1"/>
  <c r="AJ16" i="9"/>
  <c r="AJ12" i="8"/>
  <c r="L32" i="3"/>
  <c r="L20" i="3"/>
  <c r="AK15" i="3"/>
  <c r="AJ13" i="7"/>
  <c r="AJ13" i="5"/>
  <c r="D32" i="9"/>
  <c r="AJ21" i="9" l="1"/>
  <c r="AJ14" i="8"/>
  <c r="AK16" i="3"/>
  <c r="J30" i="3"/>
  <c r="M32" i="3"/>
  <c r="J29" i="3"/>
  <c r="M20" i="3"/>
  <c r="AJ14" i="7"/>
  <c r="AJ14" i="5"/>
  <c r="V10" i="12"/>
  <c r="D19" i="12"/>
  <c r="AH19" i="12" s="1"/>
  <c r="AJ22" i="9" l="1"/>
  <c r="AJ16" i="8"/>
  <c r="N32" i="3"/>
  <c r="K29" i="3"/>
  <c r="AB29" i="3"/>
  <c r="N20" i="3"/>
  <c r="AB30" i="3"/>
  <c r="K30" i="3"/>
  <c r="AK17" i="3"/>
  <c r="V15" i="12"/>
  <c r="V12" i="12"/>
  <c r="V14" i="12"/>
  <c r="V11" i="12"/>
  <c r="AJ15" i="7"/>
  <c r="AJ15" i="5"/>
  <c r="E25" i="12"/>
  <c r="E24" i="12"/>
  <c r="D28" i="9"/>
  <c r="D29" i="9"/>
  <c r="D46" i="9"/>
  <c r="V8" i="9"/>
  <c r="V9" i="9" s="1"/>
  <c r="AG16" i="9"/>
  <c r="D40" i="8"/>
  <c r="V10" i="8"/>
  <c r="V15" i="8" s="1"/>
  <c r="AG19" i="8"/>
  <c r="V11" i="7"/>
  <c r="D17" i="7"/>
  <c r="AG17" i="7" s="1"/>
  <c r="V10" i="5"/>
  <c r="C89" i="1"/>
  <c r="C88" i="1"/>
  <c r="C87" i="1"/>
  <c r="C86" i="1"/>
  <c r="C85" i="1"/>
  <c r="C84" i="1"/>
  <c r="AJ24" i="9" l="1"/>
  <c r="AJ17" i="8"/>
  <c r="O20" i="3"/>
  <c r="AK18" i="3"/>
  <c r="L30" i="3"/>
  <c r="O32" i="3"/>
  <c r="L29" i="3"/>
  <c r="D31" i="9"/>
  <c r="V12" i="9"/>
  <c r="V11" i="9"/>
  <c r="V10" i="9"/>
  <c r="V14" i="8"/>
  <c r="V12" i="8"/>
  <c r="V11" i="8"/>
  <c r="V13" i="12"/>
  <c r="AA24" i="12"/>
  <c r="F24" i="12"/>
  <c r="G24" i="12" s="1"/>
  <c r="H24" i="12" s="1"/>
  <c r="I24" i="12" s="1"/>
  <c r="J24" i="12" s="1"/>
  <c r="AA25" i="12"/>
  <c r="F25" i="12"/>
  <c r="G25" i="12" s="1"/>
  <c r="H25" i="12" s="1"/>
  <c r="I25" i="12" s="1"/>
  <c r="J25" i="12" s="1"/>
  <c r="AJ16" i="7"/>
  <c r="V13" i="5"/>
  <c r="V14" i="5"/>
  <c r="V15" i="5"/>
  <c r="V12" i="5"/>
  <c r="V11" i="5"/>
  <c r="V13" i="7"/>
  <c r="V12" i="7"/>
  <c r="AJ16" i="5"/>
  <c r="D26" i="12"/>
  <c r="D27" i="12" s="1"/>
  <c r="D17" i="9"/>
  <c r="D24" i="9" s="1"/>
  <c r="D40" i="9"/>
  <c r="E28" i="9"/>
  <c r="E29" i="9"/>
  <c r="F29" i="9" s="1"/>
  <c r="G29" i="9" s="1"/>
  <c r="H29" i="9" s="1"/>
  <c r="I29" i="9" s="1"/>
  <c r="J29" i="9" s="1"/>
  <c r="K29" i="9" s="1"/>
  <c r="L29" i="9" s="1"/>
  <c r="M29" i="9" s="1"/>
  <c r="N29" i="9" s="1"/>
  <c r="O29" i="9" s="1"/>
  <c r="P29" i="9" s="1"/>
  <c r="Q29" i="9" s="1"/>
  <c r="R29" i="9" s="1"/>
  <c r="S29" i="9" s="1"/>
  <c r="T29" i="9" s="1"/>
  <c r="U29" i="9" s="1"/>
  <c r="V29" i="9" s="1"/>
  <c r="W29" i="9" s="1"/>
  <c r="X29" i="9" s="1"/>
  <c r="Y29" i="9" s="1"/>
  <c r="E25" i="8"/>
  <c r="F25" i="8" s="1"/>
  <c r="G25" i="8" s="1"/>
  <c r="H25" i="8" s="1"/>
  <c r="I25" i="8" s="1"/>
  <c r="J25" i="8" s="1"/>
  <c r="K25" i="8" s="1"/>
  <c r="L25" i="8" s="1"/>
  <c r="M25" i="8" s="1"/>
  <c r="N25" i="8" s="1"/>
  <c r="O25" i="8" s="1"/>
  <c r="P25" i="8" s="1"/>
  <c r="Q25" i="8" s="1"/>
  <c r="R25" i="8" s="1"/>
  <c r="S25" i="8" s="1"/>
  <c r="T25" i="8" s="1"/>
  <c r="U25" i="8" s="1"/>
  <c r="V25" i="8" s="1"/>
  <c r="W25" i="8" s="1"/>
  <c r="X25" i="8" s="1"/>
  <c r="Y25" i="8" s="1"/>
  <c r="E24" i="8"/>
  <c r="AD21" i="1"/>
  <c r="AC21" i="1"/>
  <c r="AB21" i="1"/>
  <c r="AA21" i="1"/>
  <c r="Z21" i="1"/>
  <c r="AJ25" i="9" l="1"/>
  <c r="AJ18" i="8"/>
  <c r="D33" i="9"/>
  <c r="D55" i="9"/>
  <c r="M29" i="3"/>
  <c r="AC32" i="3"/>
  <c r="P32" i="3"/>
  <c r="AK19" i="3"/>
  <c r="M30" i="3"/>
  <c r="AC20" i="3"/>
  <c r="P20" i="3"/>
  <c r="V13" i="8"/>
  <c r="K25" i="12"/>
  <c r="L25" i="12" s="1"/>
  <c r="M25" i="12" s="1"/>
  <c r="N25" i="12" s="1"/>
  <c r="O25" i="12" s="1"/>
  <c r="AB25" i="12"/>
  <c r="AB24" i="12"/>
  <c r="K24" i="12"/>
  <c r="L24" i="12" s="1"/>
  <c r="M24" i="12" s="1"/>
  <c r="N24" i="12" s="1"/>
  <c r="O24" i="12" s="1"/>
  <c r="AJ17" i="7"/>
  <c r="AJ17" i="5"/>
  <c r="E29" i="8"/>
  <c r="D28" i="12"/>
  <c r="D42" i="12" s="1"/>
  <c r="D43" i="12" s="1"/>
  <c r="F24" i="8"/>
  <c r="F29" i="8" s="1"/>
  <c r="D26" i="8"/>
  <c r="D27" i="8" s="1"/>
  <c r="F28" i="9"/>
  <c r="E29" i="12"/>
  <c r="D36" i="12"/>
  <c r="D38" i="12"/>
  <c r="D33" i="7"/>
  <c r="E30" i="7" s="1"/>
  <c r="E32" i="7" s="1"/>
  <c r="D25" i="7"/>
  <c r="D23" i="7"/>
  <c r="D27" i="7"/>
  <c r="E27" i="7" s="1"/>
  <c r="F27" i="7" s="1"/>
  <c r="G27" i="7" s="1"/>
  <c r="H27" i="7" s="1"/>
  <c r="I27" i="7" s="1"/>
  <c r="J27" i="7" s="1"/>
  <c r="K27" i="7" s="1"/>
  <c r="L27" i="7" s="1"/>
  <c r="M27" i="7" s="1"/>
  <c r="N27" i="7" s="1"/>
  <c r="O27" i="7" s="1"/>
  <c r="P27" i="7" s="1"/>
  <c r="Q27" i="7" s="1"/>
  <c r="R27" i="7" s="1"/>
  <c r="S27" i="7" s="1"/>
  <c r="T27" i="7" s="1"/>
  <c r="U27" i="7" s="1"/>
  <c r="V27" i="7" s="1"/>
  <c r="W27" i="7" s="1"/>
  <c r="X27" i="7" s="1"/>
  <c r="Y27" i="7" s="1"/>
  <c r="D26" i="7"/>
  <c r="E26" i="7" s="1"/>
  <c r="F26" i="7" s="1"/>
  <c r="G26" i="7" s="1"/>
  <c r="H26" i="7" s="1"/>
  <c r="I26" i="7" s="1"/>
  <c r="J26" i="7" s="1"/>
  <c r="K26" i="7" s="1"/>
  <c r="L26" i="7" s="1"/>
  <c r="M26" i="7" s="1"/>
  <c r="N26" i="7" s="1"/>
  <c r="O26" i="7" s="1"/>
  <c r="P26" i="7" s="1"/>
  <c r="Q26" i="7" s="1"/>
  <c r="R26" i="7" s="1"/>
  <c r="S26" i="7" s="1"/>
  <c r="T26" i="7" s="1"/>
  <c r="U26" i="7" s="1"/>
  <c r="V26" i="7" s="1"/>
  <c r="W26" i="7" s="1"/>
  <c r="X26" i="7" s="1"/>
  <c r="Y26" i="7" s="1"/>
  <c r="E47" i="1"/>
  <c r="AJ27" i="9" l="1"/>
  <c r="AJ19" i="8"/>
  <c r="AK20" i="3"/>
  <c r="N29" i="3"/>
  <c r="Q32" i="3"/>
  <c r="Q20" i="3"/>
  <c r="N30" i="3"/>
  <c r="AC24" i="12"/>
  <c r="P24" i="12"/>
  <c r="Q24" i="12" s="1"/>
  <c r="R24" i="12" s="1"/>
  <c r="S24" i="12" s="1"/>
  <c r="T24" i="12" s="1"/>
  <c r="AC25" i="12"/>
  <c r="P25" i="12"/>
  <c r="Q25" i="12" s="1"/>
  <c r="R25" i="12" s="1"/>
  <c r="S25" i="12" s="1"/>
  <c r="T25" i="12" s="1"/>
  <c r="AJ18" i="7"/>
  <c r="AJ18" i="5"/>
  <c r="D28" i="8"/>
  <c r="D30" i="8" s="1"/>
  <c r="D37" i="8"/>
  <c r="G24" i="8"/>
  <c r="G29" i="8" s="1"/>
  <c r="D36" i="8"/>
  <c r="D35" i="8"/>
  <c r="G28" i="9"/>
  <c r="D30" i="12"/>
  <c r="E41" i="12"/>
  <c r="E26" i="12" s="1"/>
  <c r="E27" i="12" s="1"/>
  <c r="AA29" i="12"/>
  <c r="F29" i="12"/>
  <c r="AA29" i="9"/>
  <c r="AA28" i="9"/>
  <c r="AA25" i="8"/>
  <c r="AB25" i="8"/>
  <c r="AA24" i="8"/>
  <c r="AJ28" i="9" l="1"/>
  <c r="AJ20" i="8"/>
  <c r="O30" i="3"/>
  <c r="O29" i="3"/>
  <c r="AK21" i="3"/>
  <c r="R20" i="3"/>
  <c r="R32" i="3"/>
  <c r="U25" i="12"/>
  <c r="V25" i="12" s="1"/>
  <c r="W25" i="12" s="1"/>
  <c r="X25" i="12" s="1"/>
  <c r="Y25" i="12" s="1"/>
  <c r="AE25" i="12" s="1"/>
  <c r="AD25" i="12"/>
  <c r="U24" i="12"/>
  <c r="V24" i="12" s="1"/>
  <c r="W24" i="12" s="1"/>
  <c r="X24" i="12" s="1"/>
  <c r="Y24" i="12" s="1"/>
  <c r="AE24" i="12" s="1"/>
  <c r="AD24" i="12"/>
  <c r="AJ19" i="7"/>
  <c r="AJ19" i="5"/>
  <c r="D24" i="7"/>
  <c r="D41" i="8"/>
  <c r="H24" i="8"/>
  <c r="H29" i="8" s="1"/>
  <c r="E28" i="12"/>
  <c r="H28" i="9"/>
  <c r="AA41" i="12"/>
  <c r="D37" i="12"/>
  <c r="G29" i="12"/>
  <c r="E17" i="9"/>
  <c r="AB29" i="9"/>
  <c r="AC25" i="8"/>
  <c r="AA30" i="7"/>
  <c r="AJ29" i="9" l="1"/>
  <c r="AJ21" i="8"/>
  <c r="AK22" i="3"/>
  <c r="S32" i="3"/>
  <c r="S20" i="3"/>
  <c r="P29" i="3"/>
  <c r="AC29" i="3"/>
  <c r="AC30" i="3"/>
  <c r="P30" i="3"/>
  <c r="AJ20" i="7"/>
  <c r="AJ20" i="5"/>
  <c r="I24" i="8"/>
  <c r="I29" i="8" s="1"/>
  <c r="I28" i="9"/>
  <c r="H29" i="12"/>
  <c r="AA26" i="12"/>
  <c r="AC29" i="9"/>
  <c r="AD25" i="8"/>
  <c r="AJ30" i="9" l="1"/>
  <c r="AJ22" i="8"/>
  <c r="Q30" i="3"/>
  <c r="T20" i="3"/>
  <c r="T32" i="3"/>
  <c r="Q29" i="3"/>
  <c r="AK23" i="3"/>
  <c r="AJ21" i="7"/>
  <c r="AJ21" i="5"/>
  <c r="J24" i="8"/>
  <c r="J29" i="8" s="1"/>
  <c r="J28" i="9"/>
  <c r="E30" i="12"/>
  <c r="AA30" i="12" s="1"/>
  <c r="AA27" i="12"/>
  <c r="I29" i="12"/>
  <c r="AE29" i="9"/>
  <c r="AD29" i="9"/>
  <c r="AE25" i="8"/>
  <c r="AJ31" i="9" l="1"/>
  <c r="AJ23" i="8"/>
  <c r="AK24" i="3"/>
  <c r="R29" i="3"/>
  <c r="AD32" i="3"/>
  <c r="U32" i="3"/>
  <c r="AD20" i="3"/>
  <c r="U20" i="3"/>
  <c r="R30" i="3"/>
  <c r="AJ22" i="7"/>
  <c r="AJ22" i="5"/>
  <c r="K24" i="8"/>
  <c r="K29" i="8" s="1"/>
  <c r="K28" i="9"/>
  <c r="J29" i="12"/>
  <c r="AA28" i="12"/>
  <c r="E42" i="12"/>
  <c r="E43" i="12" s="1"/>
  <c r="AJ38" i="9" l="1"/>
  <c r="AJ24" i="8"/>
  <c r="V32" i="3"/>
  <c r="S29" i="3"/>
  <c r="V20" i="3"/>
  <c r="S30" i="3"/>
  <c r="AK25" i="3"/>
  <c r="AJ23" i="7"/>
  <c r="AJ23" i="5"/>
  <c r="L24" i="8"/>
  <c r="L29" i="8" s="1"/>
  <c r="L28" i="9"/>
  <c r="F41" i="12"/>
  <c r="F26" i="12" s="1"/>
  <c r="F27" i="12" s="1"/>
  <c r="AA43" i="12"/>
  <c r="AB29" i="12"/>
  <c r="K29" i="12"/>
  <c r="AB28" i="9"/>
  <c r="AB24" i="8"/>
  <c r="AJ39" i="9" l="1"/>
  <c r="AJ25" i="8"/>
  <c r="AK26" i="3"/>
  <c r="T30" i="3"/>
  <c r="T29" i="3"/>
  <c r="W20" i="3"/>
  <c r="W32" i="3"/>
  <c r="AJ24" i="7"/>
  <c r="AJ24" i="5"/>
  <c r="F28" i="12"/>
  <c r="M24" i="8"/>
  <c r="M29" i="8" s="1"/>
  <c r="M28" i="9"/>
  <c r="L29" i="12"/>
  <c r="AJ26" i="8" l="1"/>
  <c r="X32" i="3"/>
  <c r="U29" i="3"/>
  <c r="AD29" i="3"/>
  <c r="X20" i="3"/>
  <c r="U30" i="3"/>
  <c r="AD30" i="3"/>
  <c r="AJ25" i="7"/>
  <c r="AJ25" i="5"/>
  <c r="N24" i="8"/>
  <c r="N29" i="8" s="1"/>
  <c r="N28" i="9"/>
  <c r="F42" i="12"/>
  <c r="F43" i="12" s="1"/>
  <c r="M29" i="12"/>
  <c r="AJ27" i="8" l="1"/>
  <c r="Y20" i="3"/>
  <c r="V30" i="3"/>
  <c r="V29" i="3"/>
  <c r="Y32" i="3"/>
  <c r="AJ26" i="7"/>
  <c r="AJ26" i="5"/>
  <c r="O24" i="8"/>
  <c r="O29" i="8" s="1"/>
  <c r="O28" i="9"/>
  <c r="F30" i="12"/>
  <c r="N29" i="12"/>
  <c r="G41" i="12"/>
  <c r="G26" i="12" s="1"/>
  <c r="G27" i="12" s="1"/>
  <c r="AJ33" i="8" l="1"/>
  <c r="AE32" i="3"/>
  <c r="W29" i="3"/>
  <c r="W30" i="3"/>
  <c r="AE20" i="3"/>
  <c r="AJ27" i="7"/>
  <c r="AJ27" i="5"/>
  <c r="G28" i="12"/>
  <c r="P24" i="8"/>
  <c r="P29" i="8" s="1"/>
  <c r="P28" i="9"/>
  <c r="O29" i="12"/>
  <c r="X29" i="3" l="1"/>
  <c r="X30" i="3"/>
  <c r="Q24" i="8"/>
  <c r="Q29" i="8" s="1"/>
  <c r="Q28" i="9"/>
  <c r="G42" i="12"/>
  <c r="G43" i="12" s="1"/>
  <c r="AC29" i="12"/>
  <c r="P29" i="12"/>
  <c r="AC28" i="9"/>
  <c r="AC24" i="8"/>
  <c r="Y30" i="3" l="1"/>
  <c r="Y29" i="3"/>
  <c r="R24" i="8"/>
  <c r="R29" i="8" s="1"/>
  <c r="R28" i="9"/>
  <c r="G30" i="12"/>
  <c r="H41" i="12"/>
  <c r="H26" i="12" s="1"/>
  <c r="H27" i="12" s="1"/>
  <c r="Q29" i="12"/>
  <c r="AE29" i="3" l="1"/>
  <c r="AE30" i="3"/>
  <c r="H28" i="12"/>
  <c r="S24" i="8"/>
  <c r="S29" i="8" s="1"/>
  <c r="S28" i="9"/>
  <c r="R29" i="12"/>
  <c r="T24" i="8" l="1"/>
  <c r="T29" i="8" s="1"/>
  <c r="T28" i="9"/>
  <c r="S29" i="12"/>
  <c r="H42" i="12"/>
  <c r="H43" i="12" s="1"/>
  <c r="U24" i="8" l="1"/>
  <c r="U29" i="8" s="1"/>
  <c r="U28" i="9"/>
  <c r="I41" i="12"/>
  <c r="I26" i="12" s="1"/>
  <c r="I27" i="12" s="1"/>
  <c r="H30" i="12"/>
  <c r="T29" i="12"/>
  <c r="I28" i="12" l="1"/>
  <c r="V24" i="8"/>
  <c r="V29" i="8" s="1"/>
  <c r="V28" i="9"/>
  <c r="AD29" i="12"/>
  <c r="U29" i="12"/>
  <c r="AD28" i="9"/>
  <c r="AD24" i="8"/>
  <c r="W24" i="8" l="1"/>
  <c r="W29" i="8" s="1"/>
  <c r="W28" i="9"/>
  <c r="V29" i="12"/>
  <c r="I42" i="12"/>
  <c r="I43" i="12" s="1"/>
  <c r="X24" i="8" l="1"/>
  <c r="X29" i="8" s="1"/>
  <c r="X28" i="9"/>
  <c r="J41" i="12"/>
  <c r="J26" i="12" s="1"/>
  <c r="J27" i="12" s="1"/>
  <c r="I30" i="12"/>
  <c r="W29" i="12"/>
  <c r="J28" i="12" l="1"/>
  <c r="Y24" i="8"/>
  <c r="Y29" i="8" s="1"/>
  <c r="Y28" i="9"/>
  <c r="X29" i="12"/>
  <c r="AB41" i="12"/>
  <c r="Y29" i="12" l="1"/>
  <c r="AB26" i="12"/>
  <c r="J30" i="12" l="1"/>
  <c r="AB27" i="12"/>
  <c r="AE29" i="12"/>
  <c r="AE28" i="9"/>
  <c r="AE24" i="8"/>
  <c r="AB30" i="12" l="1"/>
  <c r="J42" i="12"/>
  <c r="J43" i="12" s="1"/>
  <c r="AB28" i="12"/>
  <c r="AB43" i="12" l="1"/>
  <c r="K41" i="12"/>
  <c r="K26" i="12" s="1"/>
  <c r="K27" i="12" s="1"/>
  <c r="K28" i="12" l="1"/>
  <c r="F47" i="1"/>
  <c r="K42" i="12" l="1"/>
  <c r="K43" i="12" s="1"/>
  <c r="G47" i="1"/>
  <c r="L41" i="12" l="1"/>
  <c r="L26" i="12" s="1"/>
  <c r="L27" i="12" s="1"/>
  <c r="K30" i="12"/>
  <c r="H47" i="1"/>
  <c r="L28" i="12" l="1"/>
  <c r="I47" i="1"/>
  <c r="L42" i="12" l="1"/>
  <c r="L43" i="12" s="1"/>
  <c r="J47" i="1"/>
  <c r="M41" i="12" l="1"/>
  <c r="M26" i="12" s="1"/>
  <c r="M27" i="12" s="1"/>
  <c r="L30" i="12"/>
  <c r="K47" i="1"/>
  <c r="M28" i="12" l="1"/>
  <c r="L47" i="1"/>
  <c r="M42" i="12" l="1"/>
  <c r="M43" i="12" s="1"/>
  <c r="M47" i="1"/>
  <c r="N41" i="12" l="1"/>
  <c r="N26" i="12" s="1"/>
  <c r="N27" i="12" s="1"/>
  <c r="M30" i="12"/>
  <c r="N47" i="1"/>
  <c r="N28" i="12" l="1"/>
  <c r="O47" i="1"/>
  <c r="N42" i="12" l="1"/>
  <c r="N43" i="12" s="1"/>
  <c r="P47" i="1"/>
  <c r="O41" i="12" l="1"/>
  <c r="O26" i="12" s="1"/>
  <c r="O27" i="12" s="1"/>
  <c r="N30" i="12"/>
  <c r="Q47" i="1"/>
  <c r="O28" i="12" l="1"/>
  <c r="AC41" i="12"/>
  <c r="R47" i="1"/>
  <c r="AC26" i="12" l="1"/>
  <c r="S47" i="1"/>
  <c r="O30" i="12" l="1"/>
  <c r="AC27" i="12"/>
  <c r="T47" i="1"/>
  <c r="AC30" i="12" l="1"/>
  <c r="O42" i="12"/>
  <c r="O43" i="12" s="1"/>
  <c r="AC28" i="12"/>
  <c r="U47" i="1"/>
  <c r="P41" i="12" l="1"/>
  <c r="P26" i="12" s="1"/>
  <c r="P27" i="12" s="1"/>
  <c r="AC43" i="12"/>
  <c r="V47" i="1"/>
  <c r="P28" i="12" l="1"/>
  <c r="W47" i="1"/>
  <c r="P42" i="12" l="1"/>
  <c r="P43" i="12" s="1"/>
  <c r="X47" i="1"/>
  <c r="Q41" i="12" l="1"/>
  <c r="Q26" i="12" s="1"/>
  <c r="Q27" i="12" s="1"/>
  <c r="P30" i="12"/>
  <c r="D19" i="5"/>
  <c r="Q28" i="12" l="1"/>
  <c r="AG19" i="5"/>
  <c r="AH19" i="5" s="1"/>
  <c r="Q42" i="12" l="1"/>
  <c r="Q43" i="12" s="1"/>
  <c r="Q30" i="12" l="1"/>
  <c r="R41" i="12"/>
  <c r="R26" i="12" s="1"/>
  <c r="R27" i="12" s="1"/>
  <c r="R28" i="12" l="1"/>
  <c r="E50" i="1"/>
  <c r="E49" i="1"/>
  <c r="E48" i="1"/>
  <c r="E45" i="1"/>
  <c r="E46" i="1"/>
  <c r="D41" i="1"/>
  <c r="E41" i="1" s="1"/>
  <c r="F41" i="1" s="1"/>
  <c r="G41" i="1" s="1"/>
  <c r="H41" i="1" s="1"/>
  <c r="I41" i="1" s="1"/>
  <c r="J41" i="1" s="1"/>
  <c r="K41" i="1" s="1"/>
  <c r="L41" i="1" s="1"/>
  <c r="M41" i="1" s="1"/>
  <c r="N41" i="1" s="1"/>
  <c r="O41" i="1" s="1"/>
  <c r="P41" i="1" s="1"/>
  <c r="Q41" i="1" s="1"/>
  <c r="R41" i="1" s="1"/>
  <c r="S41" i="1" s="1"/>
  <c r="T41" i="1" s="1"/>
  <c r="U41" i="1" s="1"/>
  <c r="V41" i="1" s="1"/>
  <c r="W41" i="1" s="1"/>
  <c r="X41" i="1" s="1"/>
  <c r="D40" i="1"/>
  <c r="D17" i="1"/>
  <c r="E19" i="3" s="1"/>
  <c r="E19" i="8" l="1"/>
  <c r="E31" i="8" s="1"/>
  <c r="E16" i="9"/>
  <c r="E19" i="12"/>
  <c r="E31" i="12" s="1"/>
  <c r="D22" i="9"/>
  <c r="D22" i="5"/>
  <c r="D116" i="5" s="1"/>
  <c r="D22" i="12"/>
  <c r="D20" i="7"/>
  <c r="D22" i="7" s="1"/>
  <c r="D22" i="8"/>
  <c r="D32" i="8" s="1"/>
  <c r="D39" i="9"/>
  <c r="R42" i="12"/>
  <c r="R43" i="12" s="1"/>
  <c r="E17" i="7"/>
  <c r="C22" i="1"/>
  <c r="D55" i="1"/>
  <c r="D69" i="1" s="1"/>
  <c r="E23" i="7" s="1"/>
  <c r="D56" i="1"/>
  <c r="D70" i="1" s="1"/>
  <c r="D59" i="1"/>
  <c r="D58" i="1"/>
  <c r="D57" i="1"/>
  <c r="D71" i="1" s="1"/>
  <c r="E27" i="3" s="1"/>
  <c r="D60" i="1"/>
  <c r="F49" i="1"/>
  <c r="F48" i="1"/>
  <c r="F50" i="1"/>
  <c r="F46" i="1"/>
  <c r="F45" i="1"/>
  <c r="E17" i="1"/>
  <c r="F19" i="3" s="1"/>
  <c r="E19" i="5"/>
  <c r="E40" i="1"/>
  <c r="E57" i="1" s="1"/>
  <c r="E71" i="1" s="1"/>
  <c r="C29" i="1" l="1"/>
  <c r="C83" i="1"/>
  <c r="C90" i="1" s="1"/>
  <c r="C37" i="1" s="1"/>
  <c r="C38" i="1" s="1"/>
  <c r="C31" i="1"/>
  <c r="C33" i="1" s="1"/>
  <c r="F27" i="3"/>
  <c r="AA27" i="3"/>
  <c r="F19" i="12"/>
  <c r="F31" i="12" s="1"/>
  <c r="F16" i="9"/>
  <c r="F19" i="8"/>
  <c r="F31" i="8" s="1"/>
  <c r="D18" i="7"/>
  <c r="D34" i="7"/>
  <c r="D28" i="7"/>
  <c r="E24" i="7"/>
  <c r="F24" i="7" s="1"/>
  <c r="E38" i="12"/>
  <c r="AA38" i="12" s="1"/>
  <c r="E32" i="12"/>
  <c r="E37" i="12"/>
  <c r="AA37" i="12" s="1"/>
  <c r="E40" i="9"/>
  <c r="E36" i="12"/>
  <c r="D72" i="1"/>
  <c r="D35" i="9"/>
  <c r="D34" i="9"/>
  <c r="D56" i="9"/>
  <c r="D19" i="7"/>
  <c r="D35" i="12"/>
  <c r="D33" i="12"/>
  <c r="S41" i="12"/>
  <c r="S26" i="12" s="1"/>
  <c r="S27" i="12" s="1"/>
  <c r="R30" i="12"/>
  <c r="D27" i="1"/>
  <c r="F17" i="7"/>
  <c r="E58" i="1"/>
  <c r="E56" i="1"/>
  <c r="E70" i="1" s="1"/>
  <c r="E60" i="1"/>
  <c r="E59" i="1"/>
  <c r="E55" i="1"/>
  <c r="E69" i="1" s="1"/>
  <c r="F23" i="7" s="1"/>
  <c r="G49" i="1"/>
  <c r="G48" i="1"/>
  <c r="G50" i="1"/>
  <c r="G46" i="1"/>
  <c r="G45" i="1"/>
  <c r="D24" i="1"/>
  <c r="D85" i="1" s="1"/>
  <c r="D26" i="1"/>
  <c r="D25" i="1"/>
  <c r="D28" i="1"/>
  <c r="AF22" i="1"/>
  <c r="AF29" i="1"/>
  <c r="D23" i="1"/>
  <c r="D84" i="1" s="1"/>
  <c r="F17" i="1"/>
  <c r="G19" i="3" s="1"/>
  <c r="F19" i="5"/>
  <c r="AF25" i="1"/>
  <c r="AF28" i="1"/>
  <c r="AF23" i="1"/>
  <c r="AF27" i="1"/>
  <c r="AF26" i="1"/>
  <c r="AF24" i="1"/>
  <c r="F40" i="1"/>
  <c r="F57" i="1" s="1"/>
  <c r="F71" i="1" s="1"/>
  <c r="E25" i="7" l="1"/>
  <c r="E28" i="3"/>
  <c r="G27" i="3"/>
  <c r="AG22" i="7"/>
  <c r="G24" i="7"/>
  <c r="G19" i="12"/>
  <c r="G16" i="9"/>
  <c r="G19" i="8"/>
  <c r="G31" i="8" s="1"/>
  <c r="D36" i="7"/>
  <c r="AG23" i="7"/>
  <c r="AG24" i="7"/>
  <c r="AG26" i="7"/>
  <c r="AG28" i="7"/>
  <c r="AG27" i="7"/>
  <c r="AG25" i="7"/>
  <c r="F32" i="12"/>
  <c r="F38" i="12"/>
  <c r="F36" i="12"/>
  <c r="F40" i="9"/>
  <c r="S28" i="12"/>
  <c r="F37" i="12"/>
  <c r="E72" i="1"/>
  <c r="D36" i="9"/>
  <c r="D37" i="9" s="1"/>
  <c r="D44" i="12"/>
  <c r="D39" i="12"/>
  <c r="G31" i="12"/>
  <c r="AA36" i="12"/>
  <c r="F59" i="1"/>
  <c r="F56" i="1"/>
  <c r="F70" i="1" s="1"/>
  <c r="Z27" i="1"/>
  <c r="D88" i="1"/>
  <c r="E27" i="1"/>
  <c r="E88" i="1" s="1"/>
  <c r="AA24" i="7"/>
  <c r="Z28" i="1"/>
  <c r="D89" i="1"/>
  <c r="Z26" i="1"/>
  <c r="D87" i="1"/>
  <c r="AA26" i="7"/>
  <c r="AA23" i="7"/>
  <c r="AA27" i="7"/>
  <c r="Z25" i="1"/>
  <c r="D86" i="1"/>
  <c r="G17" i="7"/>
  <c r="Z24" i="1"/>
  <c r="F55" i="1"/>
  <c r="F69" i="1" s="1"/>
  <c r="G23" i="7" s="1"/>
  <c r="F58" i="1"/>
  <c r="F60" i="1"/>
  <c r="H49" i="1"/>
  <c r="H48" i="1"/>
  <c r="E24" i="1"/>
  <c r="E85" i="1" s="1"/>
  <c r="H50" i="1"/>
  <c r="H46" i="1"/>
  <c r="E26" i="1"/>
  <c r="H45" i="1"/>
  <c r="E25" i="1"/>
  <c r="E28" i="1"/>
  <c r="E89" i="1" s="1"/>
  <c r="Z23" i="1"/>
  <c r="E23" i="1"/>
  <c r="E84" i="1" s="1"/>
  <c r="G17" i="1"/>
  <c r="H19" i="3" s="1"/>
  <c r="G19" i="5"/>
  <c r="G40" i="1"/>
  <c r="G57" i="1" s="1"/>
  <c r="G71" i="1" s="1"/>
  <c r="F25" i="7" l="1"/>
  <c r="H27" i="3"/>
  <c r="F28" i="3"/>
  <c r="AA28" i="3"/>
  <c r="AH33" i="12"/>
  <c r="H24" i="7"/>
  <c r="H19" i="12"/>
  <c r="H31" i="12" s="1"/>
  <c r="H16" i="9"/>
  <c r="H19" i="8"/>
  <c r="H31" i="8" s="1"/>
  <c r="G38" i="12"/>
  <c r="G32" i="12"/>
  <c r="G37" i="12"/>
  <c r="AA25" i="7"/>
  <c r="G40" i="9"/>
  <c r="G36" i="12"/>
  <c r="F72" i="1"/>
  <c r="AH42" i="12"/>
  <c r="AH44" i="12"/>
  <c r="AH40" i="12"/>
  <c r="AH41" i="12"/>
  <c r="D46" i="12"/>
  <c r="AH43" i="12"/>
  <c r="S42" i="12"/>
  <c r="S43" i="12" s="1"/>
  <c r="F25" i="1"/>
  <c r="F86" i="1" s="1"/>
  <c r="E86" i="1"/>
  <c r="F27" i="1"/>
  <c r="F88" i="1" s="1"/>
  <c r="F26" i="1"/>
  <c r="F87" i="1" s="1"/>
  <c r="E87" i="1"/>
  <c r="H17" i="7"/>
  <c r="F24" i="1"/>
  <c r="F85" i="1" s="1"/>
  <c r="G58" i="1"/>
  <c r="G59" i="1"/>
  <c r="G60" i="1"/>
  <c r="G56" i="1"/>
  <c r="G55" i="1"/>
  <c r="G69" i="1" s="1"/>
  <c r="H23" i="7" s="1"/>
  <c r="I49" i="1"/>
  <c r="I48" i="1"/>
  <c r="I50" i="1"/>
  <c r="I46" i="1"/>
  <c r="I45" i="1"/>
  <c r="F23" i="1"/>
  <c r="F84" i="1" s="1"/>
  <c r="F28" i="1"/>
  <c r="F89" i="1" s="1"/>
  <c r="H17" i="1"/>
  <c r="I19" i="3" s="1"/>
  <c r="H19" i="5"/>
  <c r="H40" i="1"/>
  <c r="H57" i="1" s="1"/>
  <c r="H71" i="1" s="1"/>
  <c r="G25" i="7" l="1"/>
  <c r="G28" i="3"/>
  <c r="I27" i="3"/>
  <c r="I24" i="7"/>
  <c r="I19" i="12"/>
  <c r="I31" i="12" s="1"/>
  <c r="I16" i="9"/>
  <c r="I19" i="8"/>
  <c r="I31" i="8" s="1"/>
  <c r="H38" i="12"/>
  <c r="H32" i="12"/>
  <c r="H36" i="12"/>
  <c r="H37" i="12"/>
  <c r="H40" i="9"/>
  <c r="G24" i="1"/>
  <c r="G85" i="1" s="1"/>
  <c r="G70" i="1"/>
  <c r="G72" i="1"/>
  <c r="G25" i="1"/>
  <c r="G86" i="1" s="1"/>
  <c r="T41" i="12"/>
  <c r="T26" i="12" s="1"/>
  <c r="T27" i="12" s="1"/>
  <c r="S30" i="12"/>
  <c r="G27" i="1"/>
  <c r="G88" i="1" s="1"/>
  <c r="G26" i="1"/>
  <c r="G87" i="1" s="1"/>
  <c r="I17" i="7"/>
  <c r="H59" i="1"/>
  <c r="H58" i="1"/>
  <c r="H72" i="1" s="1"/>
  <c r="H56" i="1"/>
  <c r="H55" i="1"/>
  <c r="H69" i="1" s="1"/>
  <c r="I23" i="7" s="1"/>
  <c r="H60" i="1"/>
  <c r="J49" i="1"/>
  <c r="J48" i="1"/>
  <c r="J50" i="1"/>
  <c r="J46" i="1"/>
  <c r="J45" i="1"/>
  <c r="G23" i="1"/>
  <c r="G84" i="1" s="1"/>
  <c r="G28" i="1"/>
  <c r="G89" i="1" s="1"/>
  <c r="I17" i="1"/>
  <c r="J19" i="3" s="1"/>
  <c r="I19" i="5"/>
  <c r="I40" i="1"/>
  <c r="I57" i="1" s="1"/>
  <c r="I71" i="1" s="1"/>
  <c r="H25" i="7" l="1"/>
  <c r="I25" i="7" s="1"/>
  <c r="J27" i="3"/>
  <c r="H28" i="3"/>
  <c r="I28" i="3" s="1"/>
  <c r="J24" i="7"/>
  <c r="AB24" i="7" s="1"/>
  <c r="J19" i="12"/>
  <c r="J31" i="12" s="1"/>
  <c r="J16" i="9"/>
  <c r="J19" i="8"/>
  <c r="J31" i="8" s="1"/>
  <c r="I38" i="12"/>
  <c r="I32" i="12"/>
  <c r="I40" i="9"/>
  <c r="T28" i="12"/>
  <c r="I37" i="12"/>
  <c r="I36" i="12"/>
  <c r="H25" i="1"/>
  <c r="H86" i="1" s="1"/>
  <c r="H24" i="1"/>
  <c r="H85" i="1" s="1"/>
  <c r="H70" i="1"/>
  <c r="AD41" i="12"/>
  <c r="H26" i="1"/>
  <c r="H87" i="1" s="1"/>
  <c r="H27" i="1"/>
  <c r="H88" i="1" s="1"/>
  <c r="J17" i="7"/>
  <c r="I58" i="1"/>
  <c r="I72" i="1" s="1"/>
  <c r="I59" i="1"/>
  <c r="H28" i="1"/>
  <c r="H89" i="1" s="1"/>
  <c r="I60" i="1"/>
  <c r="H23" i="1"/>
  <c r="H84" i="1" s="1"/>
  <c r="I56" i="1"/>
  <c r="I55" i="1"/>
  <c r="I69" i="1" s="1"/>
  <c r="J23" i="7" s="1"/>
  <c r="K49" i="1"/>
  <c r="K48" i="1"/>
  <c r="K50" i="1"/>
  <c r="K46" i="1"/>
  <c r="K45" i="1"/>
  <c r="J17" i="1"/>
  <c r="K19" i="3" s="1"/>
  <c r="J19" i="5"/>
  <c r="J40" i="1"/>
  <c r="J57" i="1" s="1"/>
  <c r="J71" i="1" s="1"/>
  <c r="J25" i="7" l="1"/>
  <c r="AB25" i="7" s="1"/>
  <c r="J28" i="3"/>
  <c r="K27" i="3"/>
  <c r="AB27" i="3"/>
  <c r="K24" i="7"/>
  <c r="K19" i="12"/>
  <c r="K31" i="12" s="1"/>
  <c r="K16" i="9"/>
  <c r="K19" i="8"/>
  <c r="K31" i="8" s="1"/>
  <c r="J38" i="12"/>
  <c r="AB38" i="12" s="1"/>
  <c r="J32" i="12"/>
  <c r="J36" i="12"/>
  <c r="J40" i="9"/>
  <c r="J37" i="12"/>
  <c r="AB37" i="12" s="1"/>
  <c r="I25" i="1"/>
  <c r="J25" i="1" s="1"/>
  <c r="J86" i="1" s="1"/>
  <c r="I24" i="1"/>
  <c r="I85" i="1" s="1"/>
  <c r="I70" i="1"/>
  <c r="I26" i="1"/>
  <c r="AA26" i="1" s="1"/>
  <c r="AD26" i="12"/>
  <c r="AB23" i="7"/>
  <c r="AB27" i="7"/>
  <c r="K17" i="7"/>
  <c r="I28" i="1"/>
  <c r="I23" i="1"/>
  <c r="J58" i="1"/>
  <c r="J72" i="1" s="1"/>
  <c r="J59" i="1"/>
  <c r="J55" i="1"/>
  <c r="J69" i="1" s="1"/>
  <c r="K23" i="7" s="1"/>
  <c r="J60" i="1"/>
  <c r="J56" i="1"/>
  <c r="L49" i="1"/>
  <c r="L48" i="1"/>
  <c r="L50" i="1"/>
  <c r="L46" i="1"/>
  <c r="L45" i="1"/>
  <c r="K17" i="1"/>
  <c r="L19" i="3" s="1"/>
  <c r="K19" i="5"/>
  <c r="I27" i="1"/>
  <c r="K40" i="1"/>
  <c r="K57" i="1" s="1"/>
  <c r="K71" i="1" s="1"/>
  <c r="K25" i="7" l="1"/>
  <c r="L27" i="3"/>
  <c r="K28" i="3"/>
  <c r="AB28" i="3"/>
  <c r="L24" i="7"/>
  <c r="L19" i="12"/>
  <c r="L31" i="12" s="1"/>
  <c r="L19" i="8"/>
  <c r="L31" i="8" s="1"/>
  <c r="L16" i="9"/>
  <c r="K38" i="12"/>
  <c r="K32" i="12"/>
  <c r="K40" i="9"/>
  <c r="K37" i="12"/>
  <c r="K36" i="12"/>
  <c r="I86" i="1"/>
  <c r="AA25" i="1"/>
  <c r="AA24" i="1"/>
  <c r="J24" i="1"/>
  <c r="J85" i="1" s="1"/>
  <c r="J70" i="1"/>
  <c r="J28" i="1"/>
  <c r="J89" i="1" s="1"/>
  <c r="I87" i="1"/>
  <c r="J26" i="1"/>
  <c r="J87" i="1" s="1"/>
  <c r="AB36" i="12"/>
  <c r="AD27" i="12"/>
  <c r="T30" i="12"/>
  <c r="AA23" i="1"/>
  <c r="I84" i="1"/>
  <c r="AA28" i="1"/>
  <c r="I89" i="1"/>
  <c r="AA27" i="1"/>
  <c r="I88" i="1"/>
  <c r="AB26" i="7"/>
  <c r="L17" i="7"/>
  <c r="J23" i="1"/>
  <c r="J84" i="1" s="1"/>
  <c r="K56" i="1"/>
  <c r="K70" i="1" s="1"/>
  <c r="K58" i="1"/>
  <c r="K59" i="1"/>
  <c r="K60" i="1"/>
  <c r="K55" i="1"/>
  <c r="M49" i="1"/>
  <c r="M48" i="1"/>
  <c r="M50" i="1"/>
  <c r="M46" i="1"/>
  <c r="M45" i="1"/>
  <c r="J27" i="1"/>
  <c r="J88" i="1" s="1"/>
  <c r="L17" i="1"/>
  <c r="M19" i="3" s="1"/>
  <c r="L19" i="5"/>
  <c r="K25" i="1"/>
  <c r="K86" i="1" s="1"/>
  <c r="L40" i="1"/>
  <c r="L57" i="1" s="1"/>
  <c r="L71" i="1" s="1"/>
  <c r="M27" i="3" l="1"/>
  <c r="M24" i="7"/>
  <c r="M19" i="12"/>
  <c r="M31" i="12" s="1"/>
  <c r="M19" i="8"/>
  <c r="M31" i="8" s="1"/>
  <c r="M16" i="9"/>
  <c r="L38" i="12"/>
  <c r="L32" i="12"/>
  <c r="K24" i="1"/>
  <c r="K85" i="1" s="1"/>
  <c r="L37" i="12"/>
  <c r="K23" i="1"/>
  <c r="K84" i="1" s="1"/>
  <c r="K69" i="1"/>
  <c r="L23" i="7" s="1"/>
  <c r="K26" i="1"/>
  <c r="K87" i="1" s="1"/>
  <c r="K72" i="1"/>
  <c r="L28" i="3" s="1"/>
  <c r="K28" i="1"/>
  <c r="K89" i="1" s="1"/>
  <c r="AD30" i="12"/>
  <c r="T42" i="12"/>
  <c r="T43" i="12" s="1"/>
  <c r="AD28" i="12"/>
  <c r="M17" i="7"/>
  <c r="L58" i="1"/>
  <c r="L59" i="1"/>
  <c r="L56" i="1"/>
  <c r="L55" i="1"/>
  <c r="L60" i="1"/>
  <c r="N49" i="1"/>
  <c r="N48" i="1"/>
  <c r="N50" i="1"/>
  <c r="N46" i="1"/>
  <c r="N45" i="1"/>
  <c r="L25" i="1"/>
  <c r="L86" i="1" s="1"/>
  <c r="M17" i="1"/>
  <c r="N19" i="3" s="1"/>
  <c r="M19" i="5"/>
  <c r="K27" i="1"/>
  <c r="K88" i="1" s="1"/>
  <c r="M40" i="1"/>
  <c r="M57" i="1" s="1"/>
  <c r="AM6" i="3" l="1"/>
  <c r="AM5" i="3"/>
  <c r="AM7" i="3"/>
  <c r="AL5" i="3"/>
  <c r="AM9" i="3"/>
  <c r="AM8" i="3"/>
  <c r="AO5" i="3"/>
  <c r="AM10" i="3"/>
  <c r="AM11" i="3"/>
  <c r="AM12" i="3"/>
  <c r="AN5" i="3"/>
  <c r="AM13" i="3"/>
  <c r="AM14" i="3"/>
  <c r="M38" i="12"/>
  <c r="N19" i="8"/>
  <c r="N16" i="9"/>
  <c r="L25" i="7"/>
  <c r="N19" i="12"/>
  <c r="AN5" i="12" s="1"/>
  <c r="C14" i="16"/>
  <c r="M37" i="12"/>
  <c r="L40" i="9"/>
  <c r="L36" i="12"/>
  <c r="M32" i="12" s="1"/>
  <c r="L28" i="1"/>
  <c r="L89" i="1" s="1"/>
  <c r="M71" i="1"/>
  <c r="N27" i="3" s="1"/>
  <c r="L24" i="1"/>
  <c r="L85" i="1" s="1"/>
  <c r="L70" i="1"/>
  <c r="L26" i="1"/>
  <c r="L87" i="1" s="1"/>
  <c r="L72" i="1"/>
  <c r="M28" i="3" s="1"/>
  <c r="L23" i="1"/>
  <c r="L84" i="1" s="1"/>
  <c r="L69" i="1"/>
  <c r="M23" i="7" s="1"/>
  <c r="AD43" i="12"/>
  <c r="U41" i="12"/>
  <c r="U26" i="12" s="1"/>
  <c r="U27" i="12" s="1"/>
  <c r="N17" i="7"/>
  <c r="M58" i="1"/>
  <c r="M55" i="1"/>
  <c r="M69" i="1" s="1"/>
  <c r="M59" i="1"/>
  <c r="L27" i="1"/>
  <c r="M60" i="1"/>
  <c r="M56" i="1"/>
  <c r="O49" i="1"/>
  <c r="O48" i="1"/>
  <c r="O50" i="1"/>
  <c r="O46" i="1"/>
  <c r="O45" i="1"/>
  <c r="N17" i="1"/>
  <c r="O19" i="3" s="1"/>
  <c r="AM15" i="3" s="1"/>
  <c r="N19" i="5"/>
  <c r="M25" i="1"/>
  <c r="M86" i="1" s="1"/>
  <c r="N40" i="1"/>
  <c r="N57" i="1" s="1"/>
  <c r="AN32" i="8" l="1"/>
  <c r="AK28" i="8"/>
  <c r="AN31" i="8"/>
  <c r="AL28" i="8"/>
  <c r="AN30" i="8"/>
  <c r="AK15" i="8"/>
  <c r="AN29" i="8"/>
  <c r="AL15" i="8"/>
  <c r="AN28" i="8"/>
  <c r="AK13" i="8"/>
  <c r="AL13" i="8"/>
  <c r="AN13" i="8"/>
  <c r="AN5" i="8"/>
  <c r="AK32" i="8"/>
  <c r="AM32" i="8"/>
  <c r="AL32" i="8"/>
  <c r="AM31" i="8"/>
  <c r="AK31" i="8"/>
  <c r="AM30" i="8"/>
  <c r="AL31" i="8"/>
  <c r="AM29" i="8"/>
  <c r="AK30" i="8"/>
  <c r="AL30" i="8"/>
  <c r="AM15" i="8"/>
  <c r="AK29" i="8"/>
  <c r="AL29" i="8"/>
  <c r="AN15" i="8"/>
  <c r="AM28" i="8"/>
  <c r="AM13" i="8"/>
  <c r="AM37" i="9"/>
  <c r="AK36" i="9"/>
  <c r="AK32" i="9"/>
  <c r="AK19" i="9"/>
  <c r="AK17" i="9"/>
  <c r="AN37" i="9"/>
  <c r="AL33" i="9"/>
  <c r="AM32" i="9"/>
  <c r="AL36" i="9"/>
  <c r="AL32" i="9"/>
  <c r="AL19" i="9"/>
  <c r="AK34" i="9"/>
  <c r="AN20" i="9"/>
  <c r="AK33" i="9"/>
  <c r="AL20" i="9"/>
  <c r="AN19" i="9"/>
  <c r="AN35" i="9"/>
  <c r="AN26" i="9"/>
  <c r="AN18" i="9"/>
  <c r="AK23" i="9"/>
  <c r="AN33" i="9"/>
  <c r="AM12" i="9"/>
  <c r="AL37" i="9"/>
  <c r="AM36" i="9"/>
  <c r="AM35" i="9"/>
  <c r="AM26" i="9"/>
  <c r="AM18" i="9"/>
  <c r="AK35" i="9"/>
  <c r="AK26" i="9"/>
  <c r="AK18" i="9"/>
  <c r="AM23" i="9"/>
  <c r="AL23" i="9"/>
  <c r="AN12" i="9"/>
  <c r="AK37" i="9"/>
  <c r="AN36" i="9"/>
  <c r="AL35" i="9"/>
  <c r="AL26" i="9"/>
  <c r="AL18" i="9"/>
  <c r="AM17" i="9"/>
  <c r="AL34" i="9"/>
  <c r="AM20" i="9"/>
  <c r="AK12" i="9"/>
  <c r="AN32" i="9"/>
  <c r="AM19" i="9"/>
  <c r="AN34" i="9"/>
  <c r="AN23" i="9"/>
  <c r="AN17" i="9"/>
  <c r="AM34" i="9"/>
  <c r="AL17" i="9"/>
  <c r="AM33" i="9"/>
  <c r="AK20" i="9"/>
  <c r="AL12" i="9"/>
  <c r="AN5" i="9"/>
  <c r="N31" i="8"/>
  <c r="AN13" i="12"/>
  <c r="AN33" i="12"/>
  <c r="AN29" i="12"/>
  <c r="AN32" i="12"/>
  <c r="AN31" i="12"/>
  <c r="AN30" i="12"/>
  <c r="AN14" i="12"/>
  <c r="AN28" i="12"/>
  <c r="AM33" i="12"/>
  <c r="AK28" i="12"/>
  <c r="AM13" i="12"/>
  <c r="AL13" i="12"/>
  <c r="AM30" i="12"/>
  <c r="AK33" i="12"/>
  <c r="AL28" i="12"/>
  <c r="AL14" i="12"/>
  <c r="AM31" i="12"/>
  <c r="AL31" i="12"/>
  <c r="AK30" i="12"/>
  <c r="AM29" i="12"/>
  <c r="AL33" i="12"/>
  <c r="AM14" i="12"/>
  <c r="AL32" i="12"/>
  <c r="AK31" i="12"/>
  <c r="AL30" i="12"/>
  <c r="AK29" i="12"/>
  <c r="AM28" i="12"/>
  <c r="AM32" i="12"/>
  <c r="AK14" i="12"/>
  <c r="AK32" i="12"/>
  <c r="AK13" i="12"/>
  <c r="AL29" i="12"/>
  <c r="AL5" i="12"/>
  <c r="AL6" i="12"/>
  <c r="AL7" i="12"/>
  <c r="AL8" i="12"/>
  <c r="AL9" i="12"/>
  <c r="AL10" i="12"/>
  <c r="AL11" i="12"/>
  <c r="AL12" i="12"/>
  <c r="AL15" i="12"/>
  <c r="AL16" i="12"/>
  <c r="AK5" i="12"/>
  <c r="AM5" i="12"/>
  <c r="AL6" i="7"/>
  <c r="AK6" i="7"/>
  <c r="AM6" i="7"/>
  <c r="N24" i="7"/>
  <c r="AN6" i="7"/>
  <c r="M25" i="7"/>
  <c r="O19" i="12"/>
  <c r="O31" i="12" s="1"/>
  <c r="O16" i="9"/>
  <c r="O19" i="8"/>
  <c r="O31" i="8" s="1"/>
  <c r="N23" i="7"/>
  <c r="N31" i="12"/>
  <c r="N38" i="12" s="1"/>
  <c r="M36" i="12"/>
  <c r="U28" i="12"/>
  <c r="M40" i="9"/>
  <c r="N40" i="9" s="1"/>
  <c r="N71" i="1"/>
  <c r="O27" i="3" s="1"/>
  <c r="M24" i="1"/>
  <c r="M85" i="1" s="1"/>
  <c r="M70" i="1"/>
  <c r="M26" i="1"/>
  <c r="M87" i="1" s="1"/>
  <c r="M72" i="1"/>
  <c r="N28" i="3" s="1"/>
  <c r="M23" i="1"/>
  <c r="M84" i="1" s="1"/>
  <c r="M27" i="1"/>
  <c r="M88" i="1" s="1"/>
  <c r="L88" i="1"/>
  <c r="M28" i="1"/>
  <c r="M89" i="1" s="1"/>
  <c r="O17" i="7"/>
  <c r="N56" i="1"/>
  <c r="N70" i="1" s="1"/>
  <c r="N55" i="1"/>
  <c r="N69" i="1" s="1"/>
  <c r="N58" i="1"/>
  <c r="N59" i="1"/>
  <c r="N60" i="1"/>
  <c r="P49" i="1"/>
  <c r="P48" i="1"/>
  <c r="P50" i="1"/>
  <c r="P46" i="1"/>
  <c r="P45" i="1"/>
  <c r="O17" i="1"/>
  <c r="P19" i="3" s="1"/>
  <c r="O19" i="5"/>
  <c r="N25" i="1"/>
  <c r="O40" i="1"/>
  <c r="O57" i="1" s="1"/>
  <c r="AC27" i="3" l="1"/>
  <c r="AL17" i="12"/>
  <c r="N25" i="7"/>
  <c r="O23" i="7"/>
  <c r="P19" i="12"/>
  <c r="P31" i="12" s="1"/>
  <c r="P16" i="9"/>
  <c r="P19" i="8"/>
  <c r="O24" i="7"/>
  <c r="AC24" i="7" s="1"/>
  <c r="N37" i="12"/>
  <c r="O37" i="12" s="1"/>
  <c r="AC37" i="12" s="1"/>
  <c r="O38" i="12"/>
  <c r="N36" i="12"/>
  <c r="N32" i="12"/>
  <c r="N24" i="1"/>
  <c r="N85" i="1" s="1"/>
  <c r="O40" i="9"/>
  <c r="N26" i="1"/>
  <c r="AB26" i="1" s="1"/>
  <c r="N72" i="1"/>
  <c r="O28" i="3" s="1"/>
  <c r="O71" i="1"/>
  <c r="P27" i="3" s="1"/>
  <c r="AC27" i="7"/>
  <c r="N23" i="1"/>
  <c r="AB23" i="1" s="1"/>
  <c r="U42" i="12"/>
  <c r="U43" i="12" s="1"/>
  <c r="O58" i="1"/>
  <c r="O59" i="1"/>
  <c r="N28" i="1"/>
  <c r="AB25" i="1"/>
  <c r="N86" i="1"/>
  <c r="P31" i="8"/>
  <c r="P17" i="7"/>
  <c r="O55" i="1"/>
  <c r="O69" i="1" s="1"/>
  <c r="O56" i="1"/>
  <c r="O60" i="1"/>
  <c r="Q49" i="1"/>
  <c r="Q48" i="1"/>
  <c r="Q50" i="1"/>
  <c r="Q46" i="1"/>
  <c r="Q45" i="1"/>
  <c r="N27" i="1"/>
  <c r="P17" i="1"/>
  <c r="Q19" i="3" s="1"/>
  <c r="P19" i="5"/>
  <c r="O25" i="1"/>
  <c r="O86" i="1" s="1"/>
  <c r="P40" i="1"/>
  <c r="P57" i="1" s="1"/>
  <c r="AC28" i="3" l="1"/>
  <c r="AB24" i="1"/>
  <c r="Q19" i="12"/>
  <c r="Q31" i="12" s="1"/>
  <c r="Q19" i="8"/>
  <c r="Q31" i="8" s="1"/>
  <c r="Q16" i="9"/>
  <c r="P24" i="7"/>
  <c r="P38" i="12"/>
  <c r="P23" i="7"/>
  <c r="O25" i="7"/>
  <c r="AC25" i="7" s="1"/>
  <c r="O32" i="12"/>
  <c r="O36" i="12"/>
  <c r="P32" i="12" s="1"/>
  <c r="P37" i="12"/>
  <c r="N87" i="1"/>
  <c r="P40" i="9"/>
  <c r="O26" i="1"/>
  <c r="O87" i="1" s="1"/>
  <c r="O72" i="1"/>
  <c r="P28" i="3" s="1"/>
  <c r="O24" i="1"/>
  <c r="O85" i="1" s="1"/>
  <c r="O70" i="1"/>
  <c r="P71" i="1"/>
  <c r="Q27" i="3" s="1"/>
  <c r="N84" i="1"/>
  <c r="AC38" i="12"/>
  <c r="O23" i="1"/>
  <c r="O84" i="1" s="1"/>
  <c r="V41" i="12"/>
  <c r="V26" i="12" s="1"/>
  <c r="V27" i="12" s="1"/>
  <c r="U30" i="12"/>
  <c r="O28" i="1"/>
  <c r="O89" i="1" s="1"/>
  <c r="AC26" i="7"/>
  <c r="AB28" i="1"/>
  <c r="N89" i="1"/>
  <c r="AB27" i="1"/>
  <c r="N88" i="1"/>
  <c r="AC23" i="7"/>
  <c r="Q17" i="7"/>
  <c r="P59" i="1"/>
  <c r="P58" i="1"/>
  <c r="P56" i="1"/>
  <c r="P60" i="1"/>
  <c r="P55" i="1"/>
  <c r="P69" i="1" s="1"/>
  <c r="R49" i="1"/>
  <c r="R48" i="1"/>
  <c r="R50" i="1"/>
  <c r="R46" i="1"/>
  <c r="R45" i="1"/>
  <c r="O27" i="1"/>
  <c r="O88" i="1" s="1"/>
  <c r="Q17" i="1"/>
  <c r="R19" i="3" s="1"/>
  <c r="Q19" i="5"/>
  <c r="P25" i="1"/>
  <c r="P86" i="1" s="1"/>
  <c r="Q40" i="1"/>
  <c r="Q57" i="1" s="1"/>
  <c r="Q24" i="7" l="1"/>
  <c r="R19" i="12"/>
  <c r="R19" i="8"/>
  <c r="R16" i="9"/>
  <c r="P25" i="7"/>
  <c r="Q38" i="12"/>
  <c r="Q23" i="7"/>
  <c r="AC36" i="12"/>
  <c r="P36" i="12"/>
  <c r="Q32" i="12" s="1"/>
  <c r="Q40" i="9"/>
  <c r="V28" i="12"/>
  <c r="Q37" i="12"/>
  <c r="P24" i="1"/>
  <c r="P85" i="1" s="1"/>
  <c r="P70" i="1"/>
  <c r="Q71" i="1"/>
  <c r="R27" i="3" s="1"/>
  <c r="P26" i="1"/>
  <c r="P87" i="1" s="1"/>
  <c r="P72" i="1"/>
  <c r="Q28" i="3" s="1"/>
  <c r="P23" i="1"/>
  <c r="P84" i="1" s="1"/>
  <c r="P28" i="1"/>
  <c r="P89" i="1" s="1"/>
  <c r="R31" i="12"/>
  <c r="R17" i="7"/>
  <c r="R31" i="8"/>
  <c r="Q58" i="1"/>
  <c r="Q59" i="1"/>
  <c r="Q60" i="1"/>
  <c r="Q55" i="1"/>
  <c r="Q56" i="1"/>
  <c r="S49" i="1"/>
  <c r="S48" i="1"/>
  <c r="S50" i="1"/>
  <c r="S46" i="1"/>
  <c r="S45" i="1"/>
  <c r="P27" i="1"/>
  <c r="P88" i="1" s="1"/>
  <c r="Q25" i="1"/>
  <c r="Q86" i="1" s="1"/>
  <c r="R17" i="1"/>
  <c r="S19" i="3" s="1"/>
  <c r="R19" i="5"/>
  <c r="R40" i="1"/>
  <c r="R57" i="1" s="1"/>
  <c r="Q25" i="7" l="1"/>
  <c r="S19" i="12"/>
  <c r="S31" i="12" s="1"/>
  <c r="S19" i="8"/>
  <c r="S31" i="8" s="1"/>
  <c r="S16" i="9"/>
  <c r="R38" i="12"/>
  <c r="R24" i="7"/>
  <c r="Q36" i="12"/>
  <c r="R32" i="12" s="1"/>
  <c r="R37" i="12"/>
  <c r="Q23" i="1"/>
  <c r="Q84" i="1" s="1"/>
  <c r="Q69" i="1"/>
  <c r="R23" i="7" s="1"/>
  <c r="Q24" i="1"/>
  <c r="Q85" i="1" s="1"/>
  <c r="Q70" i="1"/>
  <c r="Q28" i="1"/>
  <c r="Q89" i="1" s="1"/>
  <c r="Q26" i="1"/>
  <c r="Q87" i="1" s="1"/>
  <c r="Q72" i="1"/>
  <c r="R28" i="3" s="1"/>
  <c r="R71" i="1"/>
  <c r="S27" i="3" s="1"/>
  <c r="V42" i="12"/>
  <c r="V43" i="12" s="1"/>
  <c r="S17" i="7"/>
  <c r="R58" i="1"/>
  <c r="R59" i="1"/>
  <c r="R60" i="1"/>
  <c r="R56" i="1"/>
  <c r="R55" i="1"/>
  <c r="T49" i="1"/>
  <c r="T48" i="1"/>
  <c r="T50" i="1"/>
  <c r="T46" i="1"/>
  <c r="T45" i="1"/>
  <c r="R25" i="1"/>
  <c r="R86" i="1" s="1"/>
  <c r="Q27" i="1"/>
  <c r="Q88" i="1" s="1"/>
  <c r="S17" i="1"/>
  <c r="T19" i="3" s="1"/>
  <c r="S19" i="5"/>
  <c r="S40" i="1"/>
  <c r="S57" i="1" s="1"/>
  <c r="AM18" i="3" l="1"/>
  <c r="AM16" i="3"/>
  <c r="AM19" i="3"/>
  <c r="AM20" i="3"/>
  <c r="AM17" i="3"/>
  <c r="S24" i="7"/>
  <c r="T19" i="12"/>
  <c r="T31" i="12" s="1"/>
  <c r="T16" i="9"/>
  <c r="T19" i="8"/>
  <c r="T31" i="8" s="1"/>
  <c r="R25" i="7"/>
  <c r="S38" i="12"/>
  <c r="R40" i="9"/>
  <c r="R36" i="12"/>
  <c r="S32" i="12" s="1"/>
  <c r="S37" i="12"/>
  <c r="R26" i="1"/>
  <c r="R87" i="1" s="1"/>
  <c r="R72" i="1"/>
  <c r="S28" i="3" s="1"/>
  <c r="R23" i="1"/>
  <c r="R84" i="1" s="1"/>
  <c r="R69" i="1"/>
  <c r="S23" i="7" s="1"/>
  <c r="S71" i="1"/>
  <c r="T27" i="3" s="1"/>
  <c r="R24" i="1"/>
  <c r="R85" i="1" s="1"/>
  <c r="R70" i="1"/>
  <c r="R28" i="1"/>
  <c r="R89" i="1" s="1"/>
  <c r="V30" i="12"/>
  <c r="W41" i="12"/>
  <c r="W26" i="12" s="1"/>
  <c r="W27" i="12" s="1"/>
  <c r="T17" i="7"/>
  <c r="S56" i="1"/>
  <c r="S59" i="1"/>
  <c r="S58" i="1"/>
  <c r="S72" i="1" s="1"/>
  <c r="S55" i="1"/>
  <c r="S69" i="1" s="1"/>
  <c r="S60" i="1"/>
  <c r="U49" i="1"/>
  <c r="U48" i="1"/>
  <c r="U50" i="1"/>
  <c r="U46" i="1"/>
  <c r="U45" i="1"/>
  <c r="R27" i="1"/>
  <c r="R88" i="1" s="1"/>
  <c r="T17" i="1"/>
  <c r="U19" i="3" s="1"/>
  <c r="AM21" i="3" s="1"/>
  <c r="T19" i="5"/>
  <c r="S25" i="1"/>
  <c r="T40" i="1"/>
  <c r="T57" i="1" s="1"/>
  <c r="T28" i="3" l="1"/>
  <c r="AD28" i="3" s="1"/>
  <c r="S25" i="7"/>
  <c r="T25" i="7" s="1"/>
  <c r="AD25" i="7" s="1"/>
  <c r="AD27" i="3"/>
  <c r="AL22" i="12"/>
  <c r="AL18" i="12"/>
  <c r="AL19" i="12"/>
  <c r="AL20" i="12"/>
  <c r="AL21" i="12"/>
  <c r="T38" i="12"/>
  <c r="T23" i="7"/>
  <c r="AD23" i="7" s="1"/>
  <c r="U19" i="12"/>
  <c r="AL23" i="12" s="1"/>
  <c r="U19" i="8"/>
  <c r="U31" i="8" s="1"/>
  <c r="U16" i="9"/>
  <c r="T24" i="7"/>
  <c r="T37" i="12"/>
  <c r="AD37" i="12" s="1"/>
  <c r="S40" i="9"/>
  <c r="T40" i="9" s="1"/>
  <c r="S36" i="12"/>
  <c r="W28" i="12"/>
  <c r="S24" i="1"/>
  <c r="S85" i="1" s="1"/>
  <c r="S70" i="1"/>
  <c r="T71" i="1"/>
  <c r="U27" i="3" s="1"/>
  <c r="S28" i="1"/>
  <c r="AC28" i="1" s="1"/>
  <c r="S26" i="1"/>
  <c r="S87" i="1" s="1"/>
  <c r="AD26" i="7"/>
  <c r="AC25" i="1"/>
  <c r="S86" i="1"/>
  <c r="S23" i="1"/>
  <c r="U17" i="7"/>
  <c r="T58" i="1"/>
  <c r="T72" i="1" s="1"/>
  <c r="T59" i="1"/>
  <c r="T56" i="1"/>
  <c r="T55" i="1"/>
  <c r="T69" i="1" s="1"/>
  <c r="T60" i="1"/>
  <c r="V49" i="1"/>
  <c r="V48" i="1"/>
  <c r="V50" i="1"/>
  <c r="V46" i="1"/>
  <c r="V45" i="1"/>
  <c r="S27" i="1"/>
  <c r="U17" i="1"/>
  <c r="V19" i="3" s="1"/>
  <c r="U19" i="5"/>
  <c r="T25" i="1"/>
  <c r="T86" i="1" s="1"/>
  <c r="U40" i="1"/>
  <c r="U57" i="1" s="1"/>
  <c r="U28" i="3" l="1"/>
  <c r="U31" i="12"/>
  <c r="U38" i="12" s="1"/>
  <c r="U23" i="7"/>
  <c r="U25" i="7"/>
  <c r="V19" i="12"/>
  <c r="V31" i="12" s="1"/>
  <c r="V16" i="9"/>
  <c r="V19" i="8"/>
  <c r="U24" i="7"/>
  <c r="T36" i="12"/>
  <c r="T32" i="12"/>
  <c r="AC24" i="1"/>
  <c r="S89" i="1"/>
  <c r="U40" i="9"/>
  <c r="AD24" i="7"/>
  <c r="T28" i="1"/>
  <c r="T89" i="1" s="1"/>
  <c r="U71" i="1"/>
  <c r="V27" i="3" s="1"/>
  <c r="T24" i="1"/>
  <c r="T85" i="1" s="1"/>
  <c r="T70" i="1"/>
  <c r="AC26" i="1"/>
  <c r="T26" i="1"/>
  <c r="T87" i="1" s="1"/>
  <c r="AD38" i="12"/>
  <c r="W42" i="12"/>
  <c r="W43" i="12" s="1"/>
  <c r="AC27" i="1"/>
  <c r="S88" i="1"/>
  <c r="AC23" i="1"/>
  <c r="S84" i="1"/>
  <c r="AD27" i="7"/>
  <c r="T23" i="1"/>
  <c r="T84" i="1" s="1"/>
  <c r="V31" i="8"/>
  <c r="V17" i="7"/>
  <c r="U56" i="1"/>
  <c r="U58" i="1"/>
  <c r="U59" i="1"/>
  <c r="U60" i="1"/>
  <c r="U55" i="1"/>
  <c r="U69" i="1" s="1"/>
  <c r="W49" i="1"/>
  <c r="W48" i="1"/>
  <c r="W50" i="1"/>
  <c r="W46" i="1"/>
  <c r="W45" i="1"/>
  <c r="U25" i="1"/>
  <c r="U86" i="1" s="1"/>
  <c r="T27" i="1"/>
  <c r="T88" i="1" s="1"/>
  <c r="V17" i="1"/>
  <c r="W19" i="3" s="1"/>
  <c r="V19" i="5"/>
  <c r="V40" i="1"/>
  <c r="V57" i="1" s="1"/>
  <c r="AM22" i="3" l="1"/>
  <c r="AM23" i="3"/>
  <c r="U37" i="12"/>
  <c r="V37" i="12" s="1"/>
  <c r="U32" i="12"/>
  <c r="V23" i="7"/>
  <c r="V38" i="12"/>
  <c r="W19" i="12"/>
  <c r="W19" i="8"/>
  <c r="W16" i="9"/>
  <c r="V24" i="7"/>
  <c r="AD36" i="12"/>
  <c r="U36" i="12"/>
  <c r="V36" i="12" s="1"/>
  <c r="V40" i="9"/>
  <c r="V71" i="1"/>
  <c r="W27" i="3" s="1"/>
  <c r="U24" i="1"/>
  <c r="U85" i="1" s="1"/>
  <c r="U70" i="1"/>
  <c r="U28" i="1"/>
  <c r="U89" i="1" s="1"/>
  <c r="U26" i="1"/>
  <c r="U87" i="1" s="1"/>
  <c r="U72" i="1"/>
  <c r="V28" i="3" s="1"/>
  <c r="W30" i="12"/>
  <c r="X41" i="12"/>
  <c r="X26" i="12" s="1"/>
  <c r="X27" i="12" s="1"/>
  <c r="U23" i="1"/>
  <c r="U84" i="1" s="1"/>
  <c r="W17" i="7"/>
  <c r="V59" i="1"/>
  <c r="V58" i="1"/>
  <c r="V56" i="1"/>
  <c r="V55" i="1"/>
  <c r="V69" i="1" s="1"/>
  <c r="V60" i="1"/>
  <c r="X49" i="1"/>
  <c r="X48" i="1"/>
  <c r="X50" i="1"/>
  <c r="X46" i="1"/>
  <c r="X45" i="1"/>
  <c r="U27" i="1"/>
  <c r="U88" i="1" s="1"/>
  <c r="W17" i="1"/>
  <c r="X19" i="3" s="1"/>
  <c r="AM24" i="3" s="1"/>
  <c r="W19" i="5"/>
  <c r="V25" i="1"/>
  <c r="V86" i="1" s="1"/>
  <c r="W40" i="1"/>
  <c r="W57" i="1" s="1"/>
  <c r="V25" i="7" l="1"/>
  <c r="W31" i="8"/>
  <c r="AL25" i="12"/>
  <c r="AL24" i="12"/>
  <c r="W23" i="7"/>
  <c r="W31" i="12"/>
  <c r="W38" i="12" s="1"/>
  <c r="W24" i="7"/>
  <c r="X19" i="12"/>
  <c r="AL26" i="12" s="1"/>
  <c r="X19" i="8"/>
  <c r="X31" i="8" s="1"/>
  <c r="X16" i="9"/>
  <c r="V32" i="12"/>
  <c r="X28" i="12"/>
  <c r="W40" i="9"/>
  <c r="V24" i="1"/>
  <c r="V85" i="1" s="1"/>
  <c r="V70" i="1"/>
  <c r="W71" i="1"/>
  <c r="X27" i="3" s="1"/>
  <c r="V28" i="1"/>
  <c r="V89" i="1" s="1"/>
  <c r="V26" i="1"/>
  <c r="V87" i="1" s="1"/>
  <c r="V72" i="1"/>
  <c r="W28" i="3" s="1"/>
  <c r="V23" i="1"/>
  <c r="V84" i="1" s="1"/>
  <c r="X17" i="7"/>
  <c r="W58" i="1"/>
  <c r="W72" i="1" s="1"/>
  <c r="W59" i="1"/>
  <c r="V27" i="1"/>
  <c r="V88" i="1" s="1"/>
  <c r="W55" i="1"/>
  <c r="W69" i="1" s="1"/>
  <c r="W56" i="1"/>
  <c r="W60" i="1"/>
  <c r="X17" i="1"/>
  <c r="X19" i="5"/>
  <c r="W25" i="1"/>
  <c r="W86" i="1" s="1"/>
  <c r="X40" i="1"/>
  <c r="X57" i="1" s="1"/>
  <c r="W37" i="12" l="1"/>
  <c r="W32" i="12"/>
  <c r="Y19" i="3"/>
  <c r="AH19" i="3" s="1"/>
  <c r="AG17" i="1"/>
  <c r="X28" i="3"/>
  <c r="AM26" i="3"/>
  <c r="AM25" i="3"/>
  <c r="W36" i="12"/>
  <c r="X23" i="7"/>
  <c r="W25" i="7"/>
  <c r="X25" i="7" s="1"/>
  <c r="X31" i="12"/>
  <c r="X38" i="12" s="1"/>
  <c r="X24" i="7"/>
  <c r="Y16" i="9"/>
  <c r="Y19" i="8"/>
  <c r="X40" i="9"/>
  <c r="W26" i="1"/>
  <c r="W87" i="1" s="1"/>
  <c r="X71" i="1"/>
  <c r="Y27" i="3" s="1"/>
  <c r="AE27" i="3" s="1"/>
  <c r="Y19" i="12"/>
  <c r="AI19" i="12" s="1"/>
  <c r="W24" i="1"/>
  <c r="W85" i="1" s="1"/>
  <c r="W70" i="1"/>
  <c r="W23" i="1"/>
  <c r="W84" i="1" s="1"/>
  <c r="X42" i="12"/>
  <c r="X43" i="12" s="1"/>
  <c r="W28" i="1"/>
  <c r="W89" i="1" s="1"/>
  <c r="Y17" i="7"/>
  <c r="AH17" i="7" s="1"/>
  <c r="X56" i="1"/>
  <c r="X58" i="1"/>
  <c r="X60" i="1"/>
  <c r="X55" i="1"/>
  <c r="X69" i="1" s="1"/>
  <c r="X59" i="1"/>
  <c r="X25" i="1"/>
  <c r="AL11" i="1" s="1"/>
  <c r="W27" i="1"/>
  <c r="W88" i="1" s="1"/>
  <c r="Y19" i="5"/>
  <c r="X36" i="12" l="1"/>
  <c r="X37" i="12"/>
  <c r="AH16" i="9"/>
  <c r="AL27" i="12"/>
  <c r="Y31" i="8"/>
  <c r="AH19" i="8"/>
  <c r="Y23" i="7"/>
  <c r="AE23" i="7" s="1"/>
  <c r="X32" i="12"/>
  <c r="Y24" i="7"/>
  <c r="AE24" i="7" s="1"/>
  <c r="Y31" i="12"/>
  <c r="Y40" i="9"/>
  <c r="AE27" i="7"/>
  <c r="X26" i="1"/>
  <c r="AL12" i="1" s="1"/>
  <c r="X72" i="1"/>
  <c r="Y28" i="3" s="1"/>
  <c r="AE28" i="3" s="1"/>
  <c r="X24" i="1"/>
  <c r="AL10" i="1" s="1"/>
  <c r="X70" i="1"/>
  <c r="AE26" i="7"/>
  <c r="X30" i="12"/>
  <c r="Y41" i="12"/>
  <c r="Y26" i="12" s="1"/>
  <c r="Y27" i="12" s="1"/>
  <c r="X23" i="1"/>
  <c r="AL9" i="1" s="1"/>
  <c r="AD25" i="1"/>
  <c r="X86" i="1"/>
  <c r="X28" i="1"/>
  <c r="AL15" i="1" s="1"/>
  <c r="X27" i="1"/>
  <c r="AL13" i="1" s="1"/>
  <c r="Y32" i="12" l="1"/>
  <c r="AE32" i="12" s="1"/>
  <c r="Y25" i="7"/>
  <c r="AE25" i="7" s="1"/>
  <c r="Y28" i="12"/>
  <c r="Y36" i="12"/>
  <c r="Y37" i="12"/>
  <c r="AD24" i="1"/>
  <c r="Y38" i="12"/>
  <c r="X85" i="1"/>
  <c r="AD26" i="1"/>
  <c r="X87" i="1"/>
  <c r="AE41" i="12"/>
  <c r="X84" i="1"/>
  <c r="AD23" i="1"/>
  <c r="X89" i="1"/>
  <c r="X88" i="1"/>
  <c r="AD28" i="1"/>
  <c r="AD27" i="1"/>
  <c r="AE26" i="12" l="1"/>
  <c r="Y30" i="12" l="1"/>
  <c r="AE27" i="12"/>
  <c r="AE30" i="12" l="1"/>
  <c r="AE28" i="12"/>
  <c r="Y42" i="12"/>
  <c r="Y43" i="12" s="1"/>
  <c r="AL34" i="12" s="1"/>
  <c r="AE36" i="12" l="1"/>
  <c r="AE38" i="12"/>
  <c r="AE43" i="12"/>
  <c r="AE37" i="12"/>
  <c r="D47" i="9" l="1"/>
  <c r="D48" i="9" s="1"/>
  <c r="AL5" i="9" s="1"/>
  <c r="D44" i="9"/>
  <c r="AK5" i="9" s="1"/>
  <c r="D49" i="9" l="1"/>
  <c r="E46" i="9"/>
  <c r="E30" i="9" s="1"/>
  <c r="AG46" i="9"/>
  <c r="E31" i="9" l="1"/>
  <c r="E55" i="9" s="1"/>
  <c r="AA46" i="9"/>
  <c r="AG48" i="9"/>
  <c r="AG17" i="9"/>
  <c r="D51" i="9"/>
  <c r="AM5" i="9" s="1"/>
  <c r="AA30" i="9"/>
  <c r="AG49" i="9"/>
  <c r="AG47" i="9"/>
  <c r="AA31" i="9" l="1"/>
  <c r="AA40" i="9"/>
  <c r="AB40" i="9"/>
  <c r="AC40" i="9"/>
  <c r="AD40" i="9"/>
  <c r="AE40" i="9"/>
  <c r="AA41" i="9"/>
  <c r="AA42" i="9"/>
  <c r="AA43" i="9"/>
  <c r="AB41" i="9"/>
  <c r="AC41" i="9"/>
  <c r="AD41" i="9"/>
  <c r="AE41" i="9"/>
  <c r="AB42" i="9"/>
  <c r="AC42" i="9"/>
  <c r="AD42" i="9"/>
  <c r="AE42" i="9"/>
  <c r="AB43" i="9"/>
  <c r="AC43" i="9"/>
  <c r="AD43" i="9"/>
  <c r="AE43" i="9"/>
  <c r="D42" i="8" l="1"/>
  <c r="AL5" i="8" s="1"/>
  <c r="E40" i="8" l="1"/>
  <c r="E26" i="8" s="1"/>
  <c r="E27" i="8" s="1"/>
  <c r="E28" i="8"/>
  <c r="E30" i="8" s="1"/>
  <c r="E37" i="8"/>
  <c r="E36" i="8"/>
  <c r="E35" i="8"/>
  <c r="AA40" i="8"/>
  <c r="AA26" i="8" l="1"/>
  <c r="AA29" i="8" l="1"/>
  <c r="E41" i="8"/>
  <c r="E42" i="8" s="1"/>
  <c r="AL6" i="8" s="1"/>
  <c r="AA27" i="8"/>
  <c r="AA28" i="8" l="1"/>
  <c r="AA30" i="8"/>
  <c r="D34" i="8"/>
  <c r="AA37" i="8"/>
  <c r="AA42" i="8"/>
  <c r="F40" i="8"/>
  <c r="F26" i="8" s="1"/>
  <c r="F27" i="8" s="1"/>
  <c r="F28" i="8" l="1"/>
  <c r="F30" i="8" s="1"/>
  <c r="F36" i="8"/>
  <c r="F35" i="8"/>
  <c r="F37" i="8"/>
  <c r="D43" i="8"/>
  <c r="D38" i="8"/>
  <c r="AK5" i="8" s="1"/>
  <c r="AA35" i="8"/>
  <c r="AA36" i="8"/>
  <c r="AG32" i="8" l="1"/>
  <c r="F41" i="8"/>
  <c r="D45" i="8"/>
  <c r="AM5" i="8" s="1"/>
  <c r="AG42" i="8"/>
  <c r="AG39" i="8"/>
  <c r="AG40" i="8"/>
  <c r="AG41" i="8"/>
  <c r="AG43" i="8"/>
  <c r="F42" i="8" l="1"/>
  <c r="AL7" i="8" s="1"/>
  <c r="G40" i="8" l="1"/>
  <c r="G26" i="8" s="1"/>
  <c r="G27" i="8" s="1"/>
  <c r="G28" i="8" l="1"/>
  <c r="G30" i="8" s="1"/>
  <c r="G35" i="8"/>
  <c r="G37" i="8"/>
  <c r="G36" i="8"/>
  <c r="G41" i="8" l="1"/>
  <c r="G42" i="8" s="1"/>
  <c r="AL8" i="8" s="1"/>
  <c r="H40" i="8" l="1"/>
  <c r="H26" i="8" s="1"/>
  <c r="H27" i="8" s="1"/>
  <c r="H28" i="8" s="1"/>
  <c r="H30" i="8" s="1"/>
  <c r="H35" i="8" l="1"/>
  <c r="H36" i="8"/>
  <c r="H37" i="8"/>
  <c r="H41" i="8" l="1"/>
  <c r="H42" i="8" s="1"/>
  <c r="AL9" i="8" s="1"/>
  <c r="I40" i="8" l="1"/>
  <c r="I26" i="8" s="1"/>
  <c r="I27" i="8" s="1"/>
  <c r="I28" i="8" l="1"/>
  <c r="I30" i="8" s="1"/>
  <c r="I37" i="8"/>
  <c r="I36" i="8"/>
  <c r="I35" i="8"/>
  <c r="I41" i="8" l="1"/>
  <c r="I42" i="8" s="1"/>
  <c r="AL10" i="8" s="1"/>
  <c r="J40" i="8" l="1"/>
  <c r="AB40" i="8" l="1"/>
  <c r="J26" i="8"/>
  <c r="J27" i="8" s="1"/>
  <c r="J28" i="8" l="1"/>
  <c r="J30" i="8" s="1"/>
  <c r="J36" i="8"/>
  <c r="J35" i="8"/>
  <c r="J37" i="8"/>
  <c r="AB29" i="8"/>
  <c r="AB26" i="8"/>
  <c r="AB27" i="8"/>
  <c r="J41" i="8" l="1"/>
  <c r="J42" i="8" s="1"/>
  <c r="AL11" i="8" s="1"/>
  <c r="AB28" i="8"/>
  <c r="AB36" i="8" l="1"/>
  <c r="AB37" i="8"/>
  <c r="AB30" i="8"/>
  <c r="K40" i="8"/>
  <c r="K26" i="8" s="1"/>
  <c r="K27" i="8" s="1"/>
  <c r="AB42" i="8"/>
  <c r="K28" i="8" l="1"/>
  <c r="K30" i="8" s="1"/>
  <c r="K35" i="8"/>
  <c r="K37" i="8"/>
  <c r="K36" i="8"/>
  <c r="AB35" i="8"/>
  <c r="K41" i="8" l="1"/>
  <c r="K42" i="8" l="1"/>
  <c r="AL12" i="8" s="1"/>
  <c r="L40" i="8" l="1"/>
  <c r="L26" i="8" s="1"/>
  <c r="L27" i="8" s="1"/>
  <c r="L28" i="8" s="1"/>
  <c r="L30" i="8" s="1"/>
  <c r="L36" i="8"/>
  <c r="L35" i="8"/>
  <c r="L37" i="8" l="1"/>
  <c r="L41" i="8"/>
  <c r="L42" i="8" s="1"/>
  <c r="AL14" i="8" s="1"/>
  <c r="M40" i="8" l="1"/>
  <c r="M26" i="8" s="1"/>
  <c r="M27" i="8" s="1"/>
  <c r="M37" i="8" s="1"/>
  <c r="M35" i="8" l="1"/>
  <c r="M36" i="8"/>
  <c r="M28" i="8"/>
  <c r="M30" i="8" s="1"/>
  <c r="M41" i="8" l="1"/>
  <c r="M42" i="8" s="1"/>
  <c r="N40" i="8" l="1"/>
  <c r="N26" i="8" s="1"/>
  <c r="N27" i="8" s="1"/>
  <c r="N36" i="8" s="1"/>
  <c r="AL16" i="8"/>
  <c r="N28" i="8"/>
  <c r="N30" i="8" s="1"/>
  <c r="N37" i="8"/>
  <c r="N35" i="8" l="1"/>
  <c r="N41" i="8"/>
  <c r="N42" i="8" s="1"/>
  <c r="AL17" i="8" s="1"/>
  <c r="O40" i="8" l="1"/>
  <c r="O26" i="8" s="1"/>
  <c r="O27" i="8" s="1"/>
  <c r="O28" i="8" s="1"/>
  <c r="O30" i="8" s="1"/>
  <c r="O35" i="8"/>
  <c r="AC40" i="8"/>
  <c r="AC26" i="8"/>
  <c r="O36" i="8" l="1"/>
  <c r="O37" i="8"/>
  <c r="AC29" i="8"/>
  <c r="AC27" i="8"/>
  <c r="O41" i="8" l="1"/>
  <c r="O42" i="8" s="1"/>
  <c r="AL18" i="8" s="1"/>
  <c r="AC28" i="8"/>
  <c r="AC37" i="8" l="1"/>
  <c r="AC36" i="8"/>
  <c r="AC30" i="8"/>
  <c r="AC42" i="8"/>
  <c r="P40" i="8"/>
  <c r="P26" i="8" s="1"/>
  <c r="P27" i="8" s="1"/>
  <c r="P28" i="8" l="1"/>
  <c r="P30" i="8" s="1"/>
  <c r="P37" i="8"/>
  <c r="P35" i="8"/>
  <c r="P36" i="8"/>
  <c r="AC35" i="8"/>
  <c r="P41" i="8" l="1"/>
  <c r="P42" i="8" s="1"/>
  <c r="AL19" i="8" s="1"/>
  <c r="Q40" i="8" l="1"/>
  <c r="Q26" i="8" s="1"/>
  <c r="Q27" i="8" s="1"/>
  <c r="Q28" i="8" l="1"/>
  <c r="Q30" i="8" s="1"/>
  <c r="Q35" i="8"/>
  <c r="Q36" i="8"/>
  <c r="Q37" i="8"/>
  <c r="Q41" i="8" l="1"/>
  <c r="Q42" i="8" s="1"/>
  <c r="AL20" i="8" s="1"/>
  <c r="R40" i="8" l="1"/>
  <c r="R26" i="8" s="1"/>
  <c r="R27" i="8" s="1"/>
  <c r="R28" i="8" l="1"/>
  <c r="R30" i="8" s="1"/>
  <c r="R36" i="8"/>
  <c r="R37" i="8"/>
  <c r="R35" i="8"/>
  <c r="R41" i="8" l="1"/>
  <c r="R42" i="8" s="1"/>
  <c r="AL21" i="8" s="1"/>
  <c r="S40" i="8" l="1"/>
  <c r="S26" i="8" s="1"/>
  <c r="S27" i="8" s="1"/>
  <c r="S28" i="8" l="1"/>
  <c r="S30" i="8" s="1"/>
  <c r="S37" i="8"/>
  <c r="S35" i="8"/>
  <c r="S36" i="8"/>
  <c r="S41" i="8" l="1"/>
  <c r="S42" i="8" s="1"/>
  <c r="AL22" i="8" s="1"/>
  <c r="T40" i="8" l="1"/>
  <c r="T26" i="8" s="1"/>
  <c r="T27" i="8" s="1"/>
  <c r="T28" i="8" l="1"/>
  <c r="T30" i="8" s="1"/>
  <c r="T36" i="8"/>
  <c r="T37" i="8"/>
  <c r="T35" i="8"/>
  <c r="AD40" i="8"/>
  <c r="AD26" i="8"/>
  <c r="AD29" i="8" l="1"/>
  <c r="AD27" i="8"/>
  <c r="T41" i="8" l="1"/>
  <c r="T42" i="8" s="1"/>
  <c r="AL23" i="8" s="1"/>
  <c r="AD28" i="8"/>
  <c r="AD36" i="8" l="1"/>
  <c r="AD37" i="8"/>
  <c r="AD30" i="8"/>
  <c r="AD42" i="8"/>
  <c r="U40" i="8"/>
  <c r="U26" i="8" s="1"/>
  <c r="U27" i="8" s="1"/>
  <c r="U28" i="8" l="1"/>
  <c r="U30" i="8" s="1"/>
  <c r="U37" i="8"/>
  <c r="U35" i="8"/>
  <c r="U36" i="8"/>
  <c r="AD35" i="8"/>
  <c r="U41" i="8" l="1"/>
  <c r="U42" i="8" s="1"/>
  <c r="AL24" i="8" s="1"/>
  <c r="V40" i="8" l="1"/>
  <c r="V26" i="8" s="1"/>
  <c r="V27" i="8" s="1"/>
  <c r="V28" i="8" l="1"/>
  <c r="V30" i="8" s="1"/>
  <c r="V35" i="8"/>
  <c r="V36" i="8"/>
  <c r="V37" i="8"/>
  <c r="V41" i="8" l="1"/>
  <c r="V42" i="8" s="1"/>
  <c r="AL25" i="8" s="1"/>
  <c r="W40" i="8" l="1"/>
  <c r="W26" i="8" s="1"/>
  <c r="W27" i="8" s="1"/>
  <c r="W28" i="8" l="1"/>
  <c r="W30" i="8" s="1"/>
  <c r="W37" i="8"/>
  <c r="W36" i="8"/>
  <c r="W35" i="8"/>
  <c r="W41" i="8" l="1"/>
  <c r="W42" i="8" s="1"/>
  <c r="AL26" i="8" s="1"/>
  <c r="X40" i="8" l="1"/>
  <c r="X26" i="8" s="1"/>
  <c r="X27" i="8" s="1"/>
  <c r="X28" i="8" l="1"/>
  <c r="X30" i="8" s="1"/>
  <c r="X36" i="8"/>
  <c r="X35" i="8"/>
  <c r="X37" i="8"/>
  <c r="X41" i="8" l="1"/>
  <c r="X42" i="8" s="1"/>
  <c r="AL27" i="8" s="1"/>
  <c r="Y40" i="8" l="1"/>
  <c r="Y26" i="8" s="1"/>
  <c r="Y27" i="8" s="1"/>
  <c r="Y28" i="8" l="1"/>
  <c r="Y30" i="8" s="1"/>
  <c r="Y37" i="8"/>
  <c r="Y35" i="8"/>
  <c r="Y36" i="8"/>
  <c r="AE40" i="8"/>
  <c r="AE26" i="8"/>
  <c r="AE29" i="8" l="1"/>
  <c r="AE27" i="8"/>
  <c r="Y41" i="8" l="1"/>
  <c r="Y42" i="8" s="1"/>
  <c r="AL33" i="8" s="1"/>
  <c r="AE28" i="8"/>
  <c r="AE35" i="8" l="1"/>
  <c r="AE37" i="8"/>
  <c r="AE36" i="8"/>
  <c r="AE30" i="8"/>
  <c r="AE42" i="8"/>
  <c r="D7" i="16"/>
  <c r="D52" i="1" s="1"/>
  <c r="E54" i="9" s="1"/>
  <c r="D8" i="16"/>
  <c r="D9" i="16"/>
  <c r="K5" i="16"/>
  <c r="E52" i="1" l="1"/>
  <c r="F52" i="1" s="1"/>
  <c r="G52" i="1" s="1"/>
  <c r="H52" i="1" s="1"/>
  <c r="I52" i="1" s="1"/>
  <c r="J52" i="1" s="1"/>
  <c r="K52" i="1" s="1"/>
  <c r="L52" i="1" s="1"/>
  <c r="M52" i="1" s="1"/>
  <c r="N52" i="1" s="1"/>
  <c r="O52" i="1" s="1"/>
  <c r="P52" i="1" s="1"/>
  <c r="Q52" i="1" s="1"/>
  <c r="R52" i="1" s="1"/>
  <c r="S52" i="1" s="1"/>
  <c r="T52" i="1" s="1"/>
  <c r="U52" i="1" s="1"/>
  <c r="V52" i="1" s="1"/>
  <c r="W52" i="1" s="1"/>
  <c r="X52" i="1" s="1"/>
  <c r="D20" i="1"/>
  <c r="E22" i="5" l="1"/>
  <c r="AA22" i="5" s="1"/>
  <c r="E24" i="3"/>
  <c r="C15" i="16"/>
  <c r="D15" i="16" s="1"/>
  <c r="E20" i="7"/>
  <c r="AA20" i="7" s="1"/>
  <c r="E20" i="1"/>
  <c r="Z20" i="1"/>
  <c r="D22" i="1"/>
  <c r="D83" i="1" s="1"/>
  <c r="D90" i="1" s="1"/>
  <c r="D37" i="1" s="1"/>
  <c r="E22" i="12"/>
  <c r="E22" i="9"/>
  <c r="AA22" i="9" s="1"/>
  <c r="E22" i="8"/>
  <c r="F22" i="5" l="1"/>
  <c r="F24" i="3"/>
  <c r="AA24" i="3"/>
  <c r="E22" i="3"/>
  <c r="E23" i="3" s="1"/>
  <c r="E26" i="3" s="1"/>
  <c r="C16" i="16"/>
  <c r="D16" i="16" s="1"/>
  <c r="F20" i="7"/>
  <c r="AA22" i="8"/>
  <c r="E20" i="8"/>
  <c r="D29" i="1"/>
  <c r="D38" i="1" s="1"/>
  <c r="Z22" i="1"/>
  <c r="E20" i="12"/>
  <c r="AA22" i="12"/>
  <c r="F20" i="1"/>
  <c r="F22" i="12"/>
  <c r="F20" i="12" s="1"/>
  <c r="F33" i="12" s="1"/>
  <c r="F22" i="9"/>
  <c r="E22" i="1"/>
  <c r="E83" i="1" s="1"/>
  <c r="E90" i="1" s="1"/>
  <c r="E37" i="1" s="1"/>
  <c r="F22" i="8"/>
  <c r="G22" i="5" l="1"/>
  <c r="G24" i="3"/>
  <c r="E31" i="3"/>
  <c r="AA26" i="3"/>
  <c r="AA23" i="3"/>
  <c r="AO6" i="3"/>
  <c r="F22" i="3"/>
  <c r="F23" i="3" s="1"/>
  <c r="F20" i="8"/>
  <c r="F32" i="8" s="1"/>
  <c r="C17" i="16"/>
  <c r="D17" i="16" s="1"/>
  <c r="G20" i="7"/>
  <c r="G20" i="1"/>
  <c r="G22" i="12"/>
  <c r="G20" i="12" s="1"/>
  <c r="G33" i="12" s="1"/>
  <c r="G22" i="9"/>
  <c r="G22" i="8"/>
  <c r="F22" i="1"/>
  <c r="F83" i="1" s="1"/>
  <c r="F90" i="1" s="1"/>
  <c r="F37" i="1" s="1"/>
  <c r="E21" i="12"/>
  <c r="AN6" i="12" s="1"/>
  <c r="AA20" i="12"/>
  <c r="E33" i="12"/>
  <c r="AA33" i="12" s="1"/>
  <c r="Z29" i="1"/>
  <c r="D30" i="1"/>
  <c r="E21" i="8"/>
  <c r="AN6" i="8" s="1"/>
  <c r="E32" i="8"/>
  <c r="AA32" i="8" s="1"/>
  <c r="AA20" i="8"/>
  <c r="E29" i="1"/>
  <c r="E38" i="1" s="1"/>
  <c r="AO7" i="3" l="1"/>
  <c r="F26" i="3"/>
  <c r="F31" i="3" s="1"/>
  <c r="H22" i="5"/>
  <c r="H24" i="3"/>
  <c r="AA31" i="3"/>
  <c r="E33" i="3"/>
  <c r="AL6" i="3"/>
  <c r="G22" i="3"/>
  <c r="G23" i="3" s="1"/>
  <c r="G20" i="8"/>
  <c r="G32" i="8" s="1"/>
  <c r="C18" i="16"/>
  <c r="D18" i="16" s="1"/>
  <c r="H20" i="7"/>
  <c r="AA21" i="12"/>
  <c r="F21" i="12"/>
  <c r="AN7" i="12" s="1"/>
  <c r="E35" i="12"/>
  <c r="F29" i="1"/>
  <c r="F38" i="1" s="1"/>
  <c r="E34" i="8"/>
  <c r="AA21" i="8"/>
  <c r="F21" i="8"/>
  <c r="AN7" i="8" s="1"/>
  <c r="H20" i="1"/>
  <c r="G22" i="1"/>
  <c r="G83" i="1" s="1"/>
  <c r="G90" i="1" s="1"/>
  <c r="G37" i="1" s="1"/>
  <c r="H22" i="12"/>
  <c r="H20" i="12" s="1"/>
  <c r="H33" i="12" s="1"/>
  <c r="H22" i="9"/>
  <c r="H22" i="8"/>
  <c r="E30" i="1"/>
  <c r="D33" i="1"/>
  <c r="D31" i="1"/>
  <c r="AO8" i="3" l="1"/>
  <c r="G26" i="3"/>
  <c r="G31" i="3" s="1"/>
  <c r="H22" i="3"/>
  <c r="H23" i="3" s="1"/>
  <c r="I22" i="5"/>
  <c r="I24" i="3"/>
  <c r="F33" i="3"/>
  <c r="AN7" i="3" s="1"/>
  <c r="AL7" i="3"/>
  <c r="AA33" i="3"/>
  <c r="AN6" i="3"/>
  <c r="H20" i="8"/>
  <c r="H32" i="8" s="1"/>
  <c r="C19" i="16"/>
  <c r="D19" i="16" s="1"/>
  <c r="I20" i="7"/>
  <c r="F35" i="12"/>
  <c r="G21" i="12"/>
  <c r="AN8" i="12" s="1"/>
  <c r="G21" i="8"/>
  <c r="AN8" i="8" s="1"/>
  <c r="F34" i="8"/>
  <c r="F30" i="1"/>
  <c r="E38" i="8"/>
  <c r="AK6" i="8" s="1"/>
  <c r="E43" i="8"/>
  <c r="AA34" i="8"/>
  <c r="Z31" i="1"/>
  <c r="E31" i="1"/>
  <c r="D32" i="1"/>
  <c r="E33" i="1"/>
  <c r="Z33" i="1"/>
  <c r="D34" i="1"/>
  <c r="G29" i="1"/>
  <c r="G38" i="1" s="1"/>
  <c r="I22" i="12"/>
  <c r="I20" i="12" s="1"/>
  <c r="I33" i="12" s="1"/>
  <c r="I20" i="1"/>
  <c r="H22" i="1"/>
  <c r="H83" i="1" s="1"/>
  <c r="H90" i="1" s="1"/>
  <c r="H37" i="1" s="1"/>
  <c r="I22" i="9"/>
  <c r="I22" i="8"/>
  <c r="AA35" i="12"/>
  <c r="E44" i="12"/>
  <c r="E39" i="12"/>
  <c r="AO9" i="3" l="1"/>
  <c r="H26" i="3"/>
  <c r="H31" i="3" s="1"/>
  <c r="AL8" i="3"/>
  <c r="G33" i="3"/>
  <c r="AN8" i="3" s="1"/>
  <c r="I22" i="3"/>
  <c r="I23" i="3" s="1"/>
  <c r="J22" i="5"/>
  <c r="AB22" i="5" s="1"/>
  <c r="J24" i="3"/>
  <c r="I20" i="8"/>
  <c r="I32" i="8" s="1"/>
  <c r="AK6" i="12"/>
  <c r="C20" i="16"/>
  <c r="D20" i="16" s="1"/>
  <c r="J20" i="7"/>
  <c r="AB20" i="7" s="1"/>
  <c r="H29" i="1"/>
  <c r="H38" i="1" s="1"/>
  <c r="E46" i="12"/>
  <c r="AM6" i="12" s="1"/>
  <c r="AA39" i="12"/>
  <c r="F33" i="1"/>
  <c r="E34" i="1"/>
  <c r="E32" i="1"/>
  <c r="F31" i="1"/>
  <c r="F43" i="8"/>
  <c r="F38" i="8"/>
  <c r="AK7" i="8" s="1"/>
  <c r="G34" i="8"/>
  <c r="H21" i="8"/>
  <c r="AN9" i="8" s="1"/>
  <c r="J22" i="12"/>
  <c r="J20" i="1"/>
  <c r="I22" i="1"/>
  <c r="I83" i="1" s="1"/>
  <c r="I90" i="1" s="1"/>
  <c r="I37" i="1" s="1"/>
  <c r="AA20" i="1"/>
  <c r="J22" i="8"/>
  <c r="J22" i="9"/>
  <c r="AB22" i="9" s="1"/>
  <c r="G35" i="12"/>
  <c r="H21" i="12"/>
  <c r="AN9" i="12" s="1"/>
  <c r="G30" i="1"/>
  <c r="AA38" i="8"/>
  <c r="E45" i="8"/>
  <c r="AM6" i="8" s="1"/>
  <c r="F39" i="12"/>
  <c r="AK7" i="12" s="1"/>
  <c r="F44" i="12"/>
  <c r="AO10" i="3" l="1"/>
  <c r="I26" i="3"/>
  <c r="I31" i="3" s="1"/>
  <c r="K22" i="5"/>
  <c r="K24" i="3"/>
  <c r="AB24" i="3"/>
  <c r="J22" i="3"/>
  <c r="J23" i="3" s="1"/>
  <c r="AL9" i="3"/>
  <c r="H33" i="3"/>
  <c r="AN9" i="3" s="1"/>
  <c r="C21" i="16"/>
  <c r="D21" i="16" s="1"/>
  <c r="K20" i="7"/>
  <c r="G43" i="8"/>
  <c r="G38" i="8"/>
  <c r="AK8" i="8" s="1"/>
  <c r="F45" i="8"/>
  <c r="AM7" i="8" s="1"/>
  <c r="AA22" i="1"/>
  <c r="I29" i="1"/>
  <c r="I38" i="1" s="1"/>
  <c r="AA45" i="8"/>
  <c r="AA46" i="12"/>
  <c r="I21" i="8"/>
  <c r="AN10" i="8" s="1"/>
  <c r="H34" i="8"/>
  <c r="I21" i="12"/>
  <c r="AN10" i="12" s="1"/>
  <c r="H35" i="12"/>
  <c r="AB22" i="12"/>
  <c r="J20" i="12"/>
  <c r="F32" i="1"/>
  <c r="G31" i="1"/>
  <c r="G33" i="1"/>
  <c r="F34" i="1"/>
  <c r="H30" i="1"/>
  <c r="K22" i="12"/>
  <c r="K20" i="12" s="1"/>
  <c r="K33" i="12" s="1"/>
  <c r="J22" i="1"/>
  <c r="J83" i="1" s="1"/>
  <c r="J90" i="1" s="1"/>
  <c r="J37" i="1" s="1"/>
  <c r="K20" i="1"/>
  <c r="K22" i="9"/>
  <c r="K22" i="8"/>
  <c r="F46" i="12"/>
  <c r="AM7" i="12" s="1"/>
  <c r="G39" i="12"/>
  <c r="AK8" i="12" s="1"/>
  <c r="G44" i="12"/>
  <c r="J20" i="8"/>
  <c r="AB22" i="8"/>
  <c r="AB23" i="3" l="1"/>
  <c r="AO11" i="3"/>
  <c r="J26" i="3"/>
  <c r="L22" i="5"/>
  <c r="L24" i="3"/>
  <c r="K22" i="3"/>
  <c r="K23" i="3" s="1"/>
  <c r="I33" i="3"/>
  <c r="AN10" i="3" s="1"/>
  <c r="AL10" i="3"/>
  <c r="K20" i="8"/>
  <c r="K32" i="8" s="1"/>
  <c r="C22" i="16"/>
  <c r="D22" i="16" s="1"/>
  <c r="L20" i="7"/>
  <c r="J33" i="12"/>
  <c r="AB33" i="12" s="1"/>
  <c r="AB20" i="12"/>
  <c r="I30" i="1"/>
  <c r="AA29" i="1"/>
  <c r="H39" i="12"/>
  <c r="H44" i="12"/>
  <c r="J32" i="8"/>
  <c r="AB32" i="8" s="1"/>
  <c r="AB20" i="8"/>
  <c r="J21" i="12"/>
  <c r="AN11" i="12" s="1"/>
  <c r="I35" i="12"/>
  <c r="I34" i="8"/>
  <c r="J21" i="8"/>
  <c r="AN11" i="8" s="1"/>
  <c r="G45" i="8"/>
  <c r="AM8" i="8" s="1"/>
  <c r="G32" i="1"/>
  <c r="H31" i="1"/>
  <c r="H38" i="8"/>
  <c r="AK9" i="8" s="1"/>
  <c r="H43" i="8"/>
  <c r="L22" i="12"/>
  <c r="L20" i="12" s="1"/>
  <c r="L33" i="12" s="1"/>
  <c r="K22" i="1"/>
  <c r="K83" i="1" s="1"/>
  <c r="K90" i="1" s="1"/>
  <c r="K37" i="1" s="1"/>
  <c r="L20" i="1"/>
  <c r="L22" i="9"/>
  <c r="L22" i="8"/>
  <c r="J29" i="1"/>
  <c r="J38" i="1" s="1"/>
  <c r="G46" i="12"/>
  <c r="AM8" i="12" s="1"/>
  <c r="H33" i="1"/>
  <c r="G34" i="1"/>
  <c r="AO12" i="3" l="1"/>
  <c r="K26" i="3"/>
  <c r="K31" i="3" s="1"/>
  <c r="M22" i="5"/>
  <c r="M24" i="3"/>
  <c r="L22" i="3"/>
  <c r="L23" i="3" s="1"/>
  <c r="J31" i="3"/>
  <c r="AB26" i="3"/>
  <c r="L20" i="8"/>
  <c r="L32" i="8" s="1"/>
  <c r="AK9" i="12"/>
  <c r="C23" i="16"/>
  <c r="D23" i="16" s="1"/>
  <c r="M20" i="7"/>
  <c r="J34" i="8"/>
  <c r="AB21" i="8"/>
  <c r="K21" i="8"/>
  <c r="AN12" i="8" s="1"/>
  <c r="H45" i="8"/>
  <c r="AM9" i="8" s="1"/>
  <c r="I44" i="12"/>
  <c r="I39" i="12"/>
  <c r="AK10" i="12" s="1"/>
  <c r="K21" i="12"/>
  <c r="AN12" i="12" s="1"/>
  <c r="AB21" i="12"/>
  <c r="J35" i="12"/>
  <c r="H34" i="1"/>
  <c r="I33" i="1"/>
  <c r="M22" i="12"/>
  <c r="M20" i="12" s="1"/>
  <c r="M33" i="12" s="1"/>
  <c r="L22" i="1"/>
  <c r="L83" i="1" s="1"/>
  <c r="L90" i="1" s="1"/>
  <c r="L37" i="1" s="1"/>
  <c r="M22" i="8"/>
  <c r="M20" i="1"/>
  <c r="M22" i="9"/>
  <c r="K29" i="1"/>
  <c r="K38" i="1" s="1"/>
  <c r="H46" i="12"/>
  <c r="AM9" i="12" s="1"/>
  <c r="J30" i="1"/>
  <c r="I43" i="8"/>
  <c r="I38" i="8"/>
  <c r="AK10" i="8" s="1"/>
  <c r="I31" i="1"/>
  <c r="H32" i="1"/>
  <c r="AO13" i="3" l="1"/>
  <c r="L26" i="3"/>
  <c r="L31" i="3" s="1"/>
  <c r="K33" i="3"/>
  <c r="AN12" i="3" s="1"/>
  <c r="AL12" i="3"/>
  <c r="J33" i="3"/>
  <c r="AB31" i="3"/>
  <c r="AL11" i="3"/>
  <c r="M22" i="3"/>
  <c r="M23" i="3" s="1"/>
  <c r="N22" i="5"/>
  <c r="N24" i="3"/>
  <c r="M20" i="8"/>
  <c r="M32" i="8" s="1"/>
  <c r="C24" i="16"/>
  <c r="D24" i="16" s="1"/>
  <c r="N20" i="7"/>
  <c r="I45" i="8"/>
  <c r="AM10" i="8" s="1"/>
  <c r="L29" i="1"/>
  <c r="L38" i="1" s="1"/>
  <c r="N22" i="12"/>
  <c r="N20" i="12" s="1"/>
  <c r="N33" i="12" s="1"/>
  <c r="M22" i="1"/>
  <c r="M83" i="1" s="1"/>
  <c r="M90" i="1" s="1"/>
  <c r="M37" i="1" s="1"/>
  <c r="N20" i="1"/>
  <c r="N22" i="8"/>
  <c r="N22" i="9"/>
  <c r="AB35" i="12"/>
  <c r="J44" i="12"/>
  <c r="J39" i="12"/>
  <c r="AK11" i="12" s="1"/>
  <c r="L21" i="8"/>
  <c r="AN14" i="8" s="1"/>
  <c r="K34" i="8"/>
  <c r="J31" i="1"/>
  <c r="AA31" i="1"/>
  <c r="I32" i="1"/>
  <c r="J33" i="1"/>
  <c r="AA33" i="1"/>
  <c r="I34" i="1"/>
  <c r="J38" i="8"/>
  <c r="AK11" i="8" s="1"/>
  <c r="J43" i="8"/>
  <c r="AB34" i="8"/>
  <c r="L21" i="12"/>
  <c r="AN15" i="12" s="1"/>
  <c r="K35" i="12"/>
  <c r="K30" i="1"/>
  <c r="I46" i="12"/>
  <c r="AM10" i="12" s="1"/>
  <c r="AO14" i="3" l="1"/>
  <c r="M26" i="3"/>
  <c r="M31" i="3" s="1"/>
  <c r="N22" i="3"/>
  <c r="N23" i="3" s="1"/>
  <c r="AL13" i="3"/>
  <c r="L33" i="3"/>
  <c r="AN13" i="3" s="1"/>
  <c r="AB33" i="3"/>
  <c r="AN11" i="3"/>
  <c r="O22" i="5"/>
  <c r="AC22" i="5" s="1"/>
  <c r="O24" i="3"/>
  <c r="N20" i="8"/>
  <c r="N32" i="8" s="1"/>
  <c r="C25" i="16"/>
  <c r="D25" i="16" s="1"/>
  <c r="O20" i="7"/>
  <c r="AC20" i="7" s="1"/>
  <c r="M29" i="1"/>
  <c r="M38" i="1" s="1"/>
  <c r="K38" i="8"/>
  <c r="AK12" i="8" s="1"/>
  <c r="K43" i="8"/>
  <c r="L30" i="1"/>
  <c r="AB38" i="8"/>
  <c r="J45" i="8"/>
  <c r="AM11" i="8" s="1"/>
  <c r="K33" i="1"/>
  <c r="J34" i="1"/>
  <c r="AB39" i="12"/>
  <c r="J46" i="12"/>
  <c r="AM11" i="12" s="1"/>
  <c r="M21" i="12"/>
  <c r="AN16" i="12" s="1"/>
  <c r="L35" i="12"/>
  <c r="K31" i="1"/>
  <c r="J32" i="1"/>
  <c r="O22" i="12"/>
  <c r="N22" i="1"/>
  <c r="N83" i="1" s="1"/>
  <c r="N90" i="1" s="1"/>
  <c r="N37" i="1" s="1"/>
  <c r="O22" i="8"/>
  <c r="O20" i="1"/>
  <c r="AB20" i="1"/>
  <c r="O22" i="9"/>
  <c r="AC22" i="9" s="1"/>
  <c r="L34" i="8"/>
  <c r="M21" i="8"/>
  <c r="AN16" i="8" s="1"/>
  <c r="K44" i="12"/>
  <c r="K39" i="12"/>
  <c r="AK12" i="12" s="1"/>
  <c r="AO15" i="3" l="1"/>
  <c r="N26" i="3"/>
  <c r="N31" i="3" s="1"/>
  <c r="AC24" i="3"/>
  <c r="O22" i="3"/>
  <c r="O23" i="3" s="1"/>
  <c r="P22" i="5"/>
  <c r="P24" i="3"/>
  <c r="M33" i="3"/>
  <c r="AN14" i="3" s="1"/>
  <c r="AL14" i="3"/>
  <c r="C26" i="16"/>
  <c r="D26" i="16" s="1"/>
  <c r="P20" i="7"/>
  <c r="P22" i="12"/>
  <c r="P20" i="12" s="1"/>
  <c r="P33" i="12" s="1"/>
  <c r="O22" i="1"/>
  <c r="O83" i="1" s="1"/>
  <c r="O90" i="1" s="1"/>
  <c r="O37" i="1" s="1"/>
  <c r="P22" i="9"/>
  <c r="P20" i="1"/>
  <c r="P22" i="8"/>
  <c r="O20" i="8"/>
  <c r="AC22" i="8"/>
  <c r="N21" i="12"/>
  <c r="AN17" i="12" s="1"/>
  <c r="M35" i="12"/>
  <c r="K46" i="12"/>
  <c r="AM12" i="12" s="1"/>
  <c r="L33" i="1"/>
  <c r="K34" i="1"/>
  <c r="O20" i="12"/>
  <c r="AC22" i="12"/>
  <c r="AB22" i="1"/>
  <c r="N29" i="1"/>
  <c r="N38" i="1" s="1"/>
  <c r="AB45" i="8"/>
  <c r="AB46" i="12"/>
  <c r="L31" i="1"/>
  <c r="K32" i="1"/>
  <c r="K45" i="8"/>
  <c r="AM12" i="8" s="1"/>
  <c r="M34" i="8"/>
  <c r="N21" i="8"/>
  <c r="AN17" i="8" s="1"/>
  <c r="L38" i="8"/>
  <c r="AK14" i="8" s="1"/>
  <c r="L43" i="8"/>
  <c r="L39" i="12"/>
  <c r="AK15" i="12" s="1"/>
  <c r="L44" i="12"/>
  <c r="M30" i="1"/>
  <c r="AC23" i="3" l="1"/>
  <c r="AO16" i="3"/>
  <c r="O26" i="3"/>
  <c r="Q22" i="5"/>
  <c r="Q24" i="3"/>
  <c r="N33" i="3"/>
  <c r="AN15" i="3" s="1"/>
  <c r="AL15" i="3"/>
  <c r="P22" i="3"/>
  <c r="P23" i="3" s="1"/>
  <c r="P20" i="8"/>
  <c r="P32" i="8" s="1"/>
  <c r="C27" i="16"/>
  <c r="D27" i="16" s="1"/>
  <c r="Q20" i="7"/>
  <c r="O21" i="12"/>
  <c r="AN18" i="12" s="1"/>
  <c r="N35" i="12"/>
  <c r="M39" i="12"/>
  <c r="AK16" i="12" s="1"/>
  <c r="M44" i="12"/>
  <c r="O32" i="8"/>
  <c r="AC32" i="8" s="1"/>
  <c r="AC20" i="8"/>
  <c r="N30" i="1"/>
  <c r="AB29" i="1"/>
  <c r="L46" i="12"/>
  <c r="AM15" i="12" s="1"/>
  <c r="M31" i="1"/>
  <c r="L32" i="1"/>
  <c r="AC20" i="12"/>
  <c r="O33" i="12"/>
  <c r="AC33" i="12" s="1"/>
  <c r="Q22" i="12"/>
  <c r="Q20" i="12" s="1"/>
  <c r="Q33" i="12" s="1"/>
  <c r="P22" i="1"/>
  <c r="P83" i="1" s="1"/>
  <c r="P90" i="1" s="1"/>
  <c r="P37" i="1" s="1"/>
  <c r="Q20" i="1"/>
  <c r="Q22" i="8"/>
  <c r="Q22" i="9"/>
  <c r="L45" i="8"/>
  <c r="AM14" i="8" s="1"/>
  <c r="O29" i="1"/>
  <c r="O38" i="1" s="1"/>
  <c r="M33" i="1"/>
  <c r="L34" i="1"/>
  <c r="N34" i="8"/>
  <c r="O21" i="8"/>
  <c r="AN18" i="8" s="1"/>
  <c r="M38" i="8"/>
  <c r="AK16" i="8" s="1"/>
  <c r="M43" i="8"/>
  <c r="AO17" i="3" l="1"/>
  <c r="P26" i="3"/>
  <c r="P31" i="3" s="1"/>
  <c r="AC26" i="3"/>
  <c r="O31" i="3"/>
  <c r="R22" i="5"/>
  <c r="R24" i="3"/>
  <c r="Q22" i="3"/>
  <c r="Q23" i="3" s="1"/>
  <c r="Q20" i="8"/>
  <c r="Q32" i="8" s="1"/>
  <c r="C28" i="16"/>
  <c r="D28" i="16" s="1"/>
  <c r="R20" i="7"/>
  <c r="N33" i="1"/>
  <c r="M34" i="1"/>
  <c r="R22" i="12"/>
  <c r="R20" i="12" s="1"/>
  <c r="R33" i="12" s="1"/>
  <c r="Q22" i="1"/>
  <c r="Q83" i="1" s="1"/>
  <c r="Q90" i="1" s="1"/>
  <c r="Q37" i="1" s="1"/>
  <c r="R20" i="1"/>
  <c r="R22" i="8"/>
  <c r="R22" i="9"/>
  <c r="M45" i="8"/>
  <c r="AM16" i="8" s="1"/>
  <c r="O30" i="1"/>
  <c r="P29" i="1"/>
  <c r="P38" i="1" s="1"/>
  <c r="AC21" i="8"/>
  <c r="O34" i="8"/>
  <c r="P21" i="8"/>
  <c r="AN19" i="8" s="1"/>
  <c r="M46" i="12"/>
  <c r="AM16" i="12" s="1"/>
  <c r="N31" i="1"/>
  <c r="M32" i="1"/>
  <c r="N43" i="8"/>
  <c r="N38" i="8"/>
  <c r="AK17" i="8" s="1"/>
  <c r="N39" i="12"/>
  <c r="N44" i="12"/>
  <c r="AC21" i="12"/>
  <c r="P21" i="12"/>
  <c r="AN19" i="12" s="1"/>
  <c r="O35" i="12"/>
  <c r="AO18" i="3" l="1"/>
  <c r="Q26" i="3"/>
  <c r="Q31" i="3" s="1"/>
  <c r="P33" i="3"/>
  <c r="AN17" i="3" s="1"/>
  <c r="AL17" i="3"/>
  <c r="R22" i="3"/>
  <c r="R23" i="3" s="1"/>
  <c r="AC31" i="3"/>
  <c r="O33" i="3"/>
  <c r="AL16" i="3"/>
  <c r="S22" i="5"/>
  <c r="S24" i="3"/>
  <c r="R20" i="8"/>
  <c r="R32" i="8" s="1"/>
  <c r="AK17" i="12"/>
  <c r="C29" i="16"/>
  <c r="D29" i="16" s="1"/>
  <c r="S20" i="7"/>
  <c r="AB31" i="1"/>
  <c r="O31" i="1"/>
  <c r="N32" i="1"/>
  <c r="S22" i="12"/>
  <c r="S20" i="12" s="1"/>
  <c r="S33" i="12" s="1"/>
  <c r="S22" i="9"/>
  <c r="R22" i="1"/>
  <c r="R83" i="1" s="1"/>
  <c r="R90" i="1" s="1"/>
  <c r="R37" i="1" s="1"/>
  <c r="S20" i="1"/>
  <c r="S22" i="8"/>
  <c r="Q29" i="1"/>
  <c r="Q38" i="1" s="1"/>
  <c r="Q21" i="8"/>
  <c r="AN20" i="8" s="1"/>
  <c r="P34" i="8"/>
  <c r="N46" i="12"/>
  <c r="AM17" i="12" s="1"/>
  <c r="P35" i="12"/>
  <c r="Q21" i="12"/>
  <c r="AN20" i="12" s="1"/>
  <c r="O43" i="8"/>
  <c r="AC34" i="8"/>
  <c r="O38" i="8"/>
  <c r="AK18" i="8" s="1"/>
  <c r="N45" i="8"/>
  <c r="AM17" i="8" s="1"/>
  <c r="P30" i="1"/>
  <c r="O39" i="12"/>
  <c r="AK18" i="12" s="1"/>
  <c r="O44" i="12"/>
  <c r="AC35" i="12"/>
  <c r="AB33" i="1"/>
  <c r="O33" i="1"/>
  <c r="N34" i="1"/>
  <c r="AO19" i="3" l="1"/>
  <c r="R26" i="3"/>
  <c r="R31" i="3" s="1"/>
  <c r="Q33" i="3"/>
  <c r="AN18" i="3" s="1"/>
  <c r="AL18" i="3"/>
  <c r="S22" i="3"/>
  <c r="S23" i="3" s="1"/>
  <c r="AC33" i="3"/>
  <c r="AN16" i="3"/>
  <c r="T22" i="5"/>
  <c r="AD22" i="5" s="1"/>
  <c r="T24" i="3"/>
  <c r="S20" i="8"/>
  <c r="S32" i="8" s="1"/>
  <c r="C30" i="16"/>
  <c r="D30" i="16" s="1"/>
  <c r="T20" i="7"/>
  <c r="AD20" i="7" s="1"/>
  <c r="Q30" i="1"/>
  <c r="Q34" i="8"/>
  <c r="R21" i="8"/>
  <c r="AN21" i="8" s="1"/>
  <c r="T22" i="12"/>
  <c r="T20" i="1"/>
  <c r="T22" i="9"/>
  <c r="AD22" i="9" s="1"/>
  <c r="AC20" i="1"/>
  <c r="T22" i="8"/>
  <c r="S22" i="1"/>
  <c r="S83" i="1" s="1"/>
  <c r="S90" i="1" s="1"/>
  <c r="S37" i="1" s="1"/>
  <c r="Q35" i="12"/>
  <c r="R21" i="12"/>
  <c r="AN21" i="12" s="1"/>
  <c r="R29" i="1"/>
  <c r="R38" i="1" s="1"/>
  <c r="AC39" i="12"/>
  <c r="O46" i="12"/>
  <c r="AM18" i="12" s="1"/>
  <c r="O34" i="1"/>
  <c r="P33" i="1"/>
  <c r="P44" i="12"/>
  <c r="P39" i="12"/>
  <c r="O32" i="1"/>
  <c r="P31" i="1"/>
  <c r="AC38" i="8"/>
  <c r="O45" i="8"/>
  <c r="AM18" i="8" s="1"/>
  <c r="P43" i="8"/>
  <c r="P38" i="8"/>
  <c r="AK19" i="8" s="1"/>
  <c r="AO20" i="3" l="1"/>
  <c r="S26" i="3"/>
  <c r="S31" i="3" s="1"/>
  <c r="U22" i="5"/>
  <c r="U24" i="3"/>
  <c r="R33" i="3"/>
  <c r="AN19" i="3" s="1"/>
  <c r="AL19" i="3"/>
  <c r="AD24" i="3"/>
  <c r="T22" i="3"/>
  <c r="T23" i="3" s="1"/>
  <c r="AK19" i="12"/>
  <c r="C31" i="16"/>
  <c r="D31" i="16" s="1"/>
  <c r="U20" i="7"/>
  <c r="S21" i="12"/>
  <c r="AN22" i="12" s="1"/>
  <c r="R35" i="12"/>
  <c r="T20" i="12"/>
  <c r="AD22" i="12"/>
  <c r="AC46" i="12"/>
  <c r="Q44" i="12"/>
  <c r="Q39" i="12"/>
  <c r="AK20" i="12" s="1"/>
  <c r="R34" i="8"/>
  <c r="S21" i="8"/>
  <c r="AN22" i="8" s="1"/>
  <c r="Q43" i="8"/>
  <c r="Q38" i="8"/>
  <c r="AK20" i="8" s="1"/>
  <c r="AC22" i="1"/>
  <c r="S29" i="1"/>
  <c r="S38" i="1" s="1"/>
  <c r="P46" i="12"/>
  <c r="AM19" i="12" s="1"/>
  <c r="P32" i="1"/>
  <c r="Q31" i="1"/>
  <c r="P45" i="8"/>
  <c r="AM19" i="8" s="1"/>
  <c r="AD22" i="8"/>
  <c r="T20" i="8"/>
  <c r="AC45" i="8"/>
  <c r="P34" i="1"/>
  <c r="Q33" i="1"/>
  <c r="R30" i="1"/>
  <c r="U20" i="1"/>
  <c r="U22" i="12"/>
  <c r="U20" i="12" s="1"/>
  <c r="U33" i="12" s="1"/>
  <c r="T22" i="1"/>
  <c r="T83" i="1" s="1"/>
  <c r="T90" i="1" s="1"/>
  <c r="T37" i="1" s="1"/>
  <c r="U22" i="9"/>
  <c r="U22" i="8"/>
  <c r="AD23" i="3" l="1"/>
  <c r="AO21" i="3"/>
  <c r="T26" i="3"/>
  <c r="V22" i="5"/>
  <c r="V24" i="3"/>
  <c r="S33" i="3"/>
  <c r="AN20" i="3" s="1"/>
  <c r="AL20" i="3"/>
  <c r="U22" i="3"/>
  <c r="U23" i="3" s="1"/>
  <c r="U20" i="8"/>
  <c r="U32" i="8" s="1"/>
  <c r="C32" i="16"/>
  <c r="D32" i="16" s="1"/>
  <c r="V20" i="7"/>
  <c r="R43" i="8"/>
  <c r="R38" i="8"/>
  <c r="AK21" i="8" s="1"/>
  <c r="Q34" i="1"/>
  <c r="R33" i="1"/>
  <c r="V20" i="1"/>
  <c r="V22" i="12"/>
  <c r="V20" i="12" s="1"/>
  <c r="V33" i="12" s="1"/>
  <c r="V22" i="9"/>
  <c r="U22" i="1"/>
  <c r="U83" i="1" s="1"/>
  <c r="U90" i="1" s="1"/>
  <c r="U37" i="1" s="1"/>
  <c r="V22" i="8"/>
  <c r="S34" i="8"/>
  <c r="T21" i="8"/>
  <c r="AN23" i="8" s="1"/>
  <c r="Q45" i="8"/>
  <c r="AM20" i="8" s="1"/>
  <c r="T29" i="1"/>
  <c r="T38" i="1" s="1"/>
  <c r="AD20" i="8"/>
  <c r="T32" i="8"/>
  <c r="AD32" i="8" s="1"/>
  <c r="AD20" i="12"/>
  <c r="T33" i="12"/>
  <c r="AD33" i="12" s="1"/>
  <c r="R44" i="12"/>
  <c r="R39" i="12"/>
  <c r="T21" i="12"/>
  <c r="AN23" i="12" s="1"/>
  <c r="S35" i="12"/>
  <c r="Q46" i="12"/>
  <c r="AM20" i="12" s="1"/>
  <c r="S30" i="1"/>
  <c r="AC29" i="1"/>
  <c r="Q32" i="1"/>
  <c r="R31" i="1"/>
  <c r="AO22" i="3" l="1"/>
  <c r="U26" i="3"/>
  <c r="U31" i="3" s="1"/>
  <c r="AD26" i="3"/>
  <c r="T31" i="3"/>
  <c r="W22" i="5"/>
  <c r="W24" i="3"/>
  <c r="V22" i="3"/>
  <c r="V23" i="3" s="1"/>
  <c r="V20" i="8"/>
  <c r="V32" i="8" s="1"/>
  <c r="AK21" i="12"/>
  <c r="C33" i="16"/>
  <c r="D33" i="16" s="1"/>
  <c r="W20" i="7"/>
  <c r="S31" i="1"/>
  <c r="R32" i="1"/>
  <c r="T30" i="1"/>
  <c r="W20" i="1"/>
  <c r="W22" i="12"/>
  <c r="W20" i="12" s="1"/>
  <c r="W33" i="12" s="1"/>
  <c r="V22" i="1"/>
  <c r="V83" i="1" s="1"/>
  <c r="V90" i="1" s="1"/>
  <c r="V37" i="1" s="1"/>
  <c r="W22" i="8"/>
  <c r="W22" i="9"/>
  <c r="U29" i="1"/>
  <c r="U38" i="1" s="1"/>
  <c r="R46" i="12"/>
  <c r="AM21" i="12" s="1"/>
  <c r="AD21" i="12"/>
  <c r="U21" i="12"/>
  <c r="AN24" i="12" s="1"/>
  <c r="T35" i="12"/>
  <c r="R45" i="8"/>
  <c r="AM21" i="8" s="1"/>
  <c r="R34" i="1"/>
  <c r="S33" i="1"/>
  <c r="T34" i="8"/>
  <c r="AD21" i="8"/>
  <c r="U21" i="8"/>
  <c r="AN24" i="8" s="1"/>
  <c r="S44" i="12"/>
  <c r="S39" i="12"/>
  <c r="S43" i="8"/>
  <c r="S38" i="8"/>
  <c r="AK22" i="8" s="1"/>
  <c r="AO23" i="3" l="1"/>
  <c r="V26" i="3"/>
  <c r="V31" i="3" s="1"/>
  <c r="X22" i="5"/>
  <c r="X24" i="3"/>
  <c r="U33" i="3"/>
  <c r="AN22" i="3" s="1"/>
  <c r="AL22" i="3"/>
  <c r="W22" i="3"/>
  <c r="W23" i="3" s="1"/>
  <c r="AD31" i="3"/>
  <c r="T33" i="3"/>
  <c r="AL21" i="3"/>
  <c r="W20" i="8"/>
  <c r="W32" i="8" s="1"/>
  <c r="AK22" i="12"/>
  <c r="C34" i="16"/>
  <c r="D34" i="16" s="1"/>
  <c r="X20" i="7"/>
  <c r="S46" i="12"/>
  <c r="AM22" i="12" s="1"/>
  <c r="T44" i="12"/>
  <c r="T39" i="12"/>
  <c r="AK23" i="12" s="1"/>
  <c r="AD35" i="12"/>
  <c r="U34" i="8"/>
  <c r="V21" i="8"/>
  <c r="AN25" i="8" s="1"/>
  <c r="AD34" i="8"/>
  <c r="T43" i="8"/>
  <c r="T38" i="8"/>
  <c r="AK23" i="8" s="1"/>
  <c r="V21" i="12"/>
  <c r="AN25" i="12" s="1"/>
  <c r="U35" i="12"/>
  <c r="X20" i="1"/>
  <c r="X22" i="12"/>
  <c r="X20" i="12" s="1"/>
  <c r="X33" i="12" s="1"/>
  <c r="W22" i="1"/>
  <c r="W83" i="1" s="1"/>
  <c r="W90" i="1" s="1"/>
  <c r="W37" i="1" s="1"/>
  <c r="X22" i="8"/>
  <c r="X22" i="9"/>
  <c r="U30" i="1"/>
  <c r="AC33" i="1"/>
  <c r="S34" i="1"/>
  <c r="T33" i="1"/>
  <c r="V29" i="1"/>
  <c r="V38" i="1" s="1"/>
  <c r="S45" i="8"/>
  <c r="AM22" i="8" s="1"/>
  <c r="T31" i="1"/>
  <c r="S32" i="1"/>
  <c r="AC31" i="1"/>
  <c r="AO24" i="3" l="1"/>
  <c r="W26" i="3"/>
  <c r="W31" i="3" s="1"/>
  <c r="Y22" i="5"/>
  <c r="AE22" i="5" s="1"/>
  <c r="Y24" i="3"/>
  <c r="AD33" i="3"/>
  <c r="AN21" i="3"/>
  <c r="V33" i="3"/>
  <c r="AN23" i="3" s="1"/>
  <c r="AL23" i="3"/>
  <c r="X22" i="3"/>
  <c r="X23" i="3" s="1"/>
  <c r="X20" i="8"/>
  <c r="X32" i="8" s="1"/>
  <c r="C35" i="16"/>
  <c r="D35" i="16" s="1"/>
  <c r="Y20" i="7"/>
  <c r="AE20" i="7" s="1"/>
  <c r="V30" i="1"/>
  <c r="K6" i="16"/>
  <c r="Y22" i="12"/>
  <c r="X22" i="1"/>
  <c r="AD20" i="1"/>
  <c r="K8" i="16" s="1"/>
  <c r="Y22" i="8"/>
  <c r="Y22" i="9"/>
  <c r="AE22" i="9" s="1"/>
  <c r="W29" i="1"/>
  <c r="W38" i="1" s="1"/>
  <c r="U31" i="1"/>
  <c r="T32" i="1"/>
  <c r="W21" i="8"/>
  <c r="AN26" i="8" s="1"/>
  <c r="V34" i="8"/>
  <c r="U43" i="8"/>
  <c r="U38" i="8"/>
  <c r="AK24" i="8" s="1"/>
  <c r="T34" i="1"/>
  <c r="U33" i="1"/>
  <c r="AD39" i="12"/>
  <c r="T46" i="12"/>
  <c r="AM23" i="12" s="1"/>
  <c r="U44" i="12"/>
  <c r="U39" i="12"/>
  <c r="AK24" i="12" s="1"/>
  <c r="V35" i="12"/>
  <c r="W21" i="12"/>
  <c r="AN26" i="12" s="1"/>
  <c r="AD38" i="8"/>
  <c r="T45" i="8"/>
  <c r="AM23" i="8" s="1"/>
  <c r="AL8" i="1" l="1"/>
  <c r="AL16" i="1" s="1"/>
  <c r="AM8" i="1" s="1"/>
  <c r="X83" i="1"/>
  <c r="X90" i="1" s="1"/>
  <c r="X37" i="1" s="1"/>
  <c r="AO25" i="3"/>
  <c r="X26" i="3"/>
  <c r="X31" i="3" s="1"/>
  <c r="W33" i="3"/>
  <c r="AN24" i="3" s="1"/>
  <c r="AL24" i="3"/>
  <c r="AE24" i="3"/>
  <c r="Y22" i="3"/>
  <c r="Y23" i="3" s="1"/>
  <c r="W35" i="12"/>
  <c r="X21" i="12"/>
  <c r="V39" i="12"/>
  <c r="AK25" i="12" s="1"/>
  <c r="V44" i="12"/>
  <c r="U45" i="8"/>
  <c r="AM24" i="8" s="1"/>
  <c r="V33" i="1"/>
  <c r="U34" i="1"/>
  <c r="W30" i="1"/>
  <c r="AE22" i="12"/>
  <c r="Y20" i="12"/>
  <c r="U46" i="12"/>
  <c r="AM24" i="12" s="1"/>
  <c r="AD45" i="8"/>
  <c r="V38" i="8"/>
  <c r="AK25" i="8" s="1"/>
  <c r="V43" i="8"/>
  <c r="X21" i="8"/>
  <c r="AN27" i="8" s="1"/>
  <c r="W34" i="8"/>
  <c r="AD46" i="12"/>
  <c r="K7" i="16"/>
  <c r="AD22" i="1"/>
  <c r="X29" i="1"/>
  <c r="U32" i="1"/>
  <c r="V31" i="1"/>
  <c r="AE22" i="8"/>
  <c r="Y20" i="8"/>
  <c r="AG22" i="1" l="1"/>
  <c r="K9" i="16" s="1"/>
  <c r="X38" i="1"/>
  <c r="E65" i="3"/>
  <c r="AE23" i="3"/>
  <c r="AO26" i="3"/>
  <c r="Y26" i="3"/>
  <c r="X33" i="3"/>
  <c r="AN25" i="3" s="1"/>
  <c r="AL25" i="3"/>
  <c r="AM16" i="1"/>
  <c r="AM10" i="1"/>
  <c r="AM9" i="1"/>
  <c r="AM11" i="1"/>
  <c r="AM15" i="1"/>
  <c r="AM12" i="1"/>
  <c r="AM13" i="1"/>
  <c r="Y33" i="12"/>
  <c r="AE33" i="12" s="1"/>
  <c r="AD29" i="1"/>
  <c r="AG27" i="1"/>
  <c r="AG24" i="1"/>
  <c r="AG25" i="1"/>
  <c r="AG26" i="1"/>
  <c r="AG28" i="1"/>
  <c r="AG29" i="1"/>
  <c r="AG23" i="1"/>
  <c r="X30" i="1"/>
  <c r="V45" i="8"/>
  <c r="AM25" i="8" s="1"/>
  <c r="V46" i="12"/>
  <c r="AM25" i="12" s="1"/>
  <c r="Y21" i="8"/>
  <c r="E78" i="8" s="1"/>
  <c r="X34" i="8"/>
  <c r="Y21" i="12"/>
  <c r="X35" i="12"/>
  <c r="Y32" i="8"/>
  <c r="AE32" i="8" s="1"/>
  <c r="W39" i="12"/>
  <c r="AK26" i="12" s="1"/>
  <c r="W44" i="12"/>
  <c r="W33" i="1"/>
  <c r="V34" i="1"/>
  <c r="W31" i="1"/>
  <c r="V32" i="1"/>
  <c r="W38" i="8"/>
  <c r="AK26" i="8" s="1"/>
  <c r="W43" i="8"/>
  <c r="E79" i="12" l="1"/>
  <c r="AE26" i="3"/>
  <c r="Y31" i="3"/>
  <c r="AN33" i="8"/>
  <c r="X38" i="8"/>
  <c r="AK27" i="8" s="1"/>
  <c r="X43" i="8"/>
  <c r="AE21" i="8"/>
  <c r="Y34" i="8"/>
  <c r="X33" i="1"/>
  <c r="W34" i="1"/>
  <c r="W46" i="12"/>
  <c r="AM26" i="12" s="1"/>
  <c r="Y35" i="12"/>
  <c r="AE21" i="12"/>
  <c r="X39" i="12"/>
  <c r="AK27" i="12" s="1"/>
  <c r="X44" i="12"/>
  <c r="W45" i="8"/>
  <c r="AM26" i="8" s="1"/>
  <c r="X31" i="1"/>
  <c r="W32" i="1"/>
  <c r="AH26" i="3" l="1"/>
  <c r="AH31" i="3"/>
  <c r="AE31" i="3"/>
  <c r="AL26" i="3"/>
  <c r="AH28" i="3"/>
  <c r="AH27" i="3"/>
  <c r="AH30" i="3"/>
  <c r="Y33" i="3"/>
  <c r="AH29" i="3"/>
  <c r="AE34" i="8"/>
  <c r="Y38" i="8"/>
  <c r="AK33" i="8" s="1"/>
  <c r="Y43" i="8"/>
  <c r="X45" i="8"/>
  <c r="AM27" i="8" s="1"/>
  <c r="X32" i="1"/>
  <c r="AD31" i="1"/>
  <c r="Y39" i="12"/>
  <c r="Y44" i="12"/>
  <c r="AE35" i="12"/>
  <c r="AD33" i="1"/>
  <c r="X34" i="1"/>
  <c r="X46" i="12"/>
  <c r="AM27" i="12" s="1"/>
  <c r="C65" i="3" l="1"/>
  <c r="AE33" i="3"/>
  <c r="AN26" i="3"/>
  <c r="AK34" i="12"/>
  <c r="AH43" i="8"/>
  <c r="AH39" i="8"/>
  <c r="AH42" i="8"/>
  <c r="AH41" i="8"/>
  <c r="Y45" i="8"/>
  <c r="AE38" i="8"/>
  <c r="AH40" i="8"/>
  <c r="AI40" i="12"/>
  <c r="AE39" i="12"/>
  <c r="AI41" i="12"/>
  <c r="AI42" i="12"/>
  <c r="AI44" i="12"/>
  <c r="AI43" i="12"/>
  <c r="Y46" i="12"/>
  <c r="AH32" i="8"/>
  <c r="AI33" i="12"/>
  <c r="D65" i="3" l="1"/>
  <c r="D79" i="12"/>
  <c r="C79" i="12"/>
  <c r="AM33" i="8"/>
  <c r="C78" i="8"/>
  <c r="AM34" i="12"/>
  <c r="AN34" i="12"/>
  <c r="AN27" i="12"/>
  <c r="AE45" i="8"/>
  <c r="D78" i="8" l="1"/>
  <c r="D102" i="5"/>
  <c r="D124" i="5"/>
  <c r="E124" i="5"/>
  <c r="F124" i="5"/>
  <c r="G124" i="5"/>
  <c r="H124" i="5"/>
  <c r="I124" i="5"/>
  <c r="J124" i="5"/>
  <c r="K124" i="5"/>
  <c r="L124" i="5"/>
  <c r="M124" i="5"/>
  <c r="N124" i="5"/>
  <c r="O124" i="5"/>
  <c r="P124" i="5"/>
  <c r="Q124" i="5"/>
  <c r="R124" i="5"/>
  <c r="S124" i="5"/>
  <c r="T124" i="5"/>
  <c r="U124" i="5"/>
  <c r="V124" i="5"/>
  <c r="W124" i="5"/>
  <c r="X124" i="5"/>
  <c r="Y124" i="5"/>
  <c r="E102" i="5" l="1"/>
  <c r="E123" i="5" s="1"/>
  <c r="D31" i="5"/>
  <c r="D123" i="5"/>
  <c r="D125" i="5" s="1"/>
  <c r="D40" i="5" s="1"/>
  <c r="F102" i="5" l="1"/>
  <c r="F31" i="5" s="1"/>
  <c r="AA123" i="5"/>
  <c r="AA102" i="5"/>
  <c r="E31" i="5"/>
  <c r="E125" i="5"/>
  <c r="F123" i="5"/>
  <c r="F125" i="5" s="1"/>
  <c r="F40" i="5" s="1"/>
  <c r="G102" i="5" l="1"/>
  <c r="G31" i="5" s="1"/>
  <c r="AA125" i="5"/>
  <c r="E40" i="5"/>
  <c r="H102" i="5"/>
  <c r="H31" i="5" s="1"/>
  <c r="G123" i="5"/>
  <c r="G125" i="5" s="1"/>
  <c r="G40" i="5" s="1"/>
  <c r="I102" i="5" l="1"/>
  <c r="I31" i="5" s="1"/>
  <c r="H123" i="5"/>
  <c r="H125" i="5" s="1"/>
  <c r="H40" i="5" s="1"/>
  <c r="J102" i="5" l="1"/>
  <c r="J31" i="5" s="1"/>
  <c r="I123" i="5"/>
  <c r="I125" i="5" s="1"/>
  <c r="I40" i="5" s="1"/>
  <c r="K102" i="5" l="1"/>
  <c r="K31" i="5" s="1"/>
  <c r="AB102" i="5"/>
  <c r="J123" i="5"/>
  <c r="AB123" i="5" l="1"/>
  <c r="J125" i="5"/>
  <c r="J40" i="5" s="1"/>
  <c r="L102" i="5"/>
  <c r="L31" i="5" s="1"/>
  <c r="K123" i="5"/>
  <c r="K125" i="5" s="1"/>
  <c r="K40" i="5" s="1"/>
  <c r="M102" i="5" l="1"/>
  <c r="M31" i="5" s="1"/>
  <c r="L123" i="5"/>
  <c r="L125" i="5" s="1"/>
  <c r="L40" i="5" s="1"/>
  <c r="AB125" i="5"/>
  <c r="N102" i="5" l="1"/>
  <c r="N31" i="5" s="1"/>
  <c r="M123" i="5"/>
  <c r="M125" i="5" s="1"/>
  <c r="M40" i="5" s="1"/>
  <c r="O102" i="5" l="1"/>
  <c r="O31" i="5" s="1"/>
  <c r="N123" i="5"/>
  <c r="N125" i="5" s="1"/>
  <c r="N40" i="5" s="1"/>
  <c r="AC102" i="5" l="1"/>
  <c r="P102" i="5"/>
  <c r="P31" i="5" s="1"/>
  <c r="O123" i="5"/>
  <c r="Q102" i="5" l="1"/>
  <c r="Q31" i="5" s="1"/>
  <c r="P123" i="5"/>
  <c r="P125" i="5" s="1"/>
  <c r="P40" i="5" s="1"/>
  <c r="AC123" i="5"/>
  <c r="O125" i="5"/>
  <c r="O40" i="5" s="1"/>
  <c r="AC125" i="5" l="1"/>
  <c r="R102" i="5"/>
  <c r="R31" i="5" s="1"/>
  <c r="Q123" i="5"/>
  <c r="Q125" i="5" s="1"/>
  <c r="Q40" i="5" s="1"/>
  <c r="S102" i="5" l="1"/>
  <c r="S31" i="5" s="1"/>
  <c r="R123" i="5"/>
  <c r="R125" i="5" s="1"/>
  <c r="R40" i="5" s="1"/>
  <c r="T102" i="5" l="1"/>
  <c r="T31" i="5" s="1"/>
  <c r="S123" i="5"/>
  <c r="S125" i="5" s="1"/>
  <c r="S40" i="5" s="1"/>
  <c r="AD102" i="5" l="1"/>
  <c r="U102" i="5"/>
  <c r="U31" i="5" s="1"/>
  <c r="T123" i="5"/>
  <c r="V102" i="5" l="1"/>
  <c r="V31" i="5" s="1"/>
  <c r="U123" i="5"/>
  <c r="U125" i="5" s="1"/>
  <c r="U40" i="5" s="1"/>
  <c r="AD123" i="5"/>
  <c r="T125" i="5"/>
  <c r="T40" i="5" s="1"/>
  <c r="AD125" i="5" l="1"/>
  <c r="W102" i="5"/>
  <c r="W31" i="5" s="1"/>
  <c r="V123" i="5"/>
  <c r="V125" i="5" s="1"/>
  <c r="V40" i="5" s="1"/>
  <c r="X102" i="5" l="1"/>
  <c r="X31" i="5" s="1"/>
  <c r="W123" i="5"/>
  <c r="W125" i="5" s="1"/>
  <c r="W40" i="5" s="1"/>
  <c r="Y102" i="5" l="1"/>
  <c r="Y31" i="5" s="1"/>
  <c r="AE31" i="5" s="1"/>
  <c r="X123" i="5"/>
  <c r="X125" i="5" s="1"/>
  <c r="X40" i="5" s="1"/>
  <c r="Y123" i="5" l="1"/>
  <c r="AE102" i="5"/>
  <c r="Y125" i="5" l="1"/>
  <c r="Y40" i="5" s="1"/>
  <c r="AE40" i="5" s="1"/>
  <c r="AE123" i="5"/>
  <c r="AE125" i="5" l="1"/>
  <c r="D132" i="5"/>
  <c r="D108" i="5" l="1"/>
  <c r="D133" i="5" l="1"/>
  <c r="D45" i="5" s="1"/>
  <c r="E132" i="5" l="1"/>
  <c r="E108" i="5" s="1"/>
  <c r="AA132" i="5" l="1"/>
  <c r="E133" i="5"/>
  <c r="E45" i="5" s="1"/>
  <c r="AA133" i="5" l="1"/>
  <c r="F132" i="5"/>
  <c r="F108" i="5" l="1"/>
  <c r="F133" i="5" l="1"/>
  <c r="F45" i="5" s="1"/>
  <c r="G132" i="5" l="1"/>
  <c r="G108" i="5" s="1"/>
  <c r="G133" i="5" l="1"/>
  <c r="G45" i="5" s="1"/>
  <c r="H132" i="5" l="1"/>
  <c r="H108" i="5" s="1"/>
  <c r="H133" i="5" l="1"/>
  <c r="H45" i="5" s="1"/>
  <c r="I132" i="5" l="1"/>
  <c r="I108" i="5" s="1"/>
  <c r="I133" i="5" l="1"/>
  <c r="I45" i="5" s="1"/>
  <c r="J132" i="5" l="1"/>
  <c r="AB132" i="5" s="1"/>
  <c r="J108" i="5" l="1"/>
  <c r="J133" i="5" s="1"/>
  <c r="J45" i="5" s="1"/>
  <c r="AB133" i="5" l="1"/>
  <c r="K132" i="5"/>
  <c r="K108" i="5" s="1"/>
  <c r="K133" i="5" l="1"/>
  <c r="K45" i="5" s="1"/>
  <c r="L132" i="5" l="1"/>
  <c r="L108" i="5" s="1"/>
  <c r="L133" i="5" l="1"/>
  <c r="L45" i="5" s="1"/>
  <c r="M132" i="5" l="1"/>
  <c r="M108" i="5" s="1"/>
  <c r="M133" i="5" l="1"/>
  <c r="M45" i="5" s="1"/>
  <c r="N132" i="5" l="1"/>
  <c r="N108" i="5" s="1"/>
  <c r="N133" i="5" l="1"/>
  <c r="N45" i="5" s="1"/>
  <c r="O132" i="5" l="1"/>
  <c r="O108" i="5" s="1"/>
  <c r="O133" i="5" s="1"/>
  <c r="O45" i="5" s="1"/>
  <c r="AC132" i="5" l="1"/>
  <c r="P132" i="5"/>
  <c r="AC133" i="5"/>
  <c r="P108" i="5" l="1"/>
  <c r="P133" i="5" l="1"/>
  <c r="P45" i="5" s="1"/>
  <c r="Q132" i="5" l="1"/>
  <c r="Q108" i="5" s="1"/>
  <c r="Q133" i="5" l="1"/>
  <c r="Q45" i="5" s="1"/>
  <c r="R132" i="5" l="1"/>
  <c r="R108" i="5" s="1"/>
  <c r="R133" i="5" l="1"/>
  <c r="R45" i="5" s="1"/>
  <c r="S132" i="5" l="1"/>
  <c r="S108" i="5" s="1"/>
  <c r="S133" i="5" l="1"/>
  <c r="S45" i="5" s="1"/>
  <c r="T132" i="5" l="1"/>
  <c r="AD132" i="5" s="1"/>
  <c r="T108" i="5" l="1"/>
  <c r="T133" i="5" s="1"/>
  <c r="T45" i="5" s="1"/>
  <c r="U132" i="5" l="1"/>
  <c r="AD133" i="5"/>
  <c r="U108" i="5" l="1"/>
  <c r="U133" i="5" l="1"/>
  <c r="U45" i="5" s="1"/>
  <c r="V132" i="5" l="1"/>
  <c r="V108" i="5" s="1"/>
  <c r="V133" i="5" l="1"/>
  <c r="V45" i="5" s="1"/>
  <c r="W132" i="5" l="1"/>
  <c r="W108" i="5" s="1"/>
  <c r="W133" i="5" l="1"/>
  <c r="W45" i="5" s="1"/>
  <c r="X132" i="5" l="1"/>
  <c r="X108" i="5" s="1"/>
  <c r="X133" i="5" l="1"/>
  <c r="X45" i="5" s="1"/>
  <c r="Y132" i="5" l="1"/>
  <c r="AE132" i="5" s="1"/>
  <c r="Y108" i="5" l="1"/>
  <c r="Y133" i="5" s="1"/>
  <c r="Y45" i="5" s="1"/>
  <c r="AE133" i="5" l="1"/>
  <c r="AE45" i="5"/>
  <c r="F18" i="9"/>
  <c r="G18" i="9"/>
  <c r="H18" i="9"/>
  <c r="H32" i="9" s="1"/>
  <c r="R18" i="9"/>
  <c r="V18" i="9"/>
  <c r="W18" i="9"/>
  <c r="X18" i="9"/>
  <c r="Y18" i="9"/>
  <c r="V32" i="9" l="1"/>
  <c r="R32" i="9"/>
  <c r="Y32" i="9"/>
  <c r="AE32" i="9" s="1"/>
  <c r="X32" i="9"/>
  <c r="W32" i="9"/>
  <c r="G32" i="9"/>
  <c r="F32" i="9"/>
  <c r="P18" i="9"/>
  <c r="Q18" i="9"/>
  <c r="E18" i="9"/>
  <c r="U18" i="9"/>
  <c r="I18" i="9"/>
  <c r="J18" i="9"/>
  <c r="N18" i="9"/>
  <c r="K18" i="9"/>
  <c r="M18" i="9"/>
  <c r="O18" i="9"/>
  <c r="L18" i="9"/>
  <c r="S18" i="9"/>
  <c r="T18" i="9"/>
  <c r="J32" i="9" l="1"/>
  <c r="AB32" i="9" s="1"/>
  <c r="S32" i="9"/>
  <c r="L32" i="9"/>
  <c r="O32" i="9"/>
  <c r="AC32" i="9" s="1"/>
  <c r="M32" i="9"/>
  <c r="K32" i="9"/>
  <c r="N32" i="9"/>
  <c r="Q32" i="9"/>
  <c r="P32" i="9"/>
  <c r="T32" i="9"/>
  <c r="AD32" i="9" s="1"/>
  <c r="I32" i="9"/>
  <c r="U32" i="9"/>
  <c r="E32" i="9"/>
  <c r="E33" i="9" s="1"/>
  <c r="AA32" i="9" l="1"/>
  <c r="E56" i="9" l="1"/>
  <c r="AA33" i="9"/>
  <c r="E19" i="9"/>
  <c r="E20" i="9" l="1"/>
  <c r="E35" i="9" s="1"/>
  <c r="E34" i="9"/>
  <c r="E21" i="9" l="1"/>
  <c r="E23" i="9" s="1"/>
  <c r="AA34" i="9"/>
  <c r="E36" i="9"/>
  <c r="E24" i="9" l="1"/>
  <c r="E47" i="9"/>
  <c r="E48" i="9" s="1"/>
  <c r="AL6" i="9" s="1"/>
  <c r="AA36" i="9"/>
  <c r="E37" i="9"/>
  <c r="AA37" i="9" s="1"/>
  <c r="E39" i="9" l="1"/>
  <c r="E49" i="9" s="1"/>
  <c r="AN6" i="9"/>
  <c r="F17" i="9"/>
  <c r="E25" i="9"/>
  <c r="E26" i="9" s="1"/>
  <c r="F46" i="9"/>
  <c r="AA48" i="9"/>
  <c r="E44" i="9" l="1"/>
  <c r="AK6" i="9" s="1"/>
  <c r="AA39" i="9"/>
  <c r="F54" i="9"/>
  <c r="F30" i="9"/>
  <c r="F31" i="9" s="1"/>
  <c r="E51" i="9" l="1"/>
  <c r="AM6" i="9" s="1"/>
  <c r="AA44" i="9"/>
  <c r="F33" i="9"/>
  <c r="F55" i="9"/>
  <c r="AA51" i="9" l="1"/>
  <c r="F56" i="9"/>
  <c r="F19" i="9"/>
  <c r="F34" i="9" s="1"/>
  <c r="F20" i="9" l="1"/>
  <c r="F35" i="9" s="1"/>
  <c r="F36" i="9" s="1"/>
  <c r="F47" i="9" s="1"/>
  <c r="F48" i="9" s="1"/>
  <c r="AL7" i="9" s="1"/>
  <c r="F21" i="9" l="1"/>
  <c r="F23" i="9" s="1"/>
  <c r="G46" i="9"/>
  <c r="F37" i="9"/>
  <c r="F24" i="9" l="1"/>
  <c r="G30" i="9"/>
  <c r="G31" i="9" s="1"/>
  <c r="G17" i="9" l="1"/>
  <c r="AN7" i="9"/>
  <c r="F25" i="9"/>
  <c r="F26" i="9" s="1"/>
  <c r="F39" i="9"/>
  <c r="F49" i="9" s="1"/>
  <c r="G33" i="9"/>
  <c r="G55" i="9"/>
  <c r="F44" i="9" l="1"/>
  <c r="AK7" i="9" s="1"/>
  <c r="G54" i="9"/>
  <c r="G56" i="9" s="1"/>
  <c r="G19" i="9"/>
  <c r="G34" i="9" s="1"/>
  <c r="F51" i="9" l="1"/>
  <c r="AM7" i="9" s="1"/>
  <c r="G20" i="9"/>
  <c r="G35" i="9" s="1"/>
  <c r="G36" i="9" s="1"/>
  <c r="G47" i="9" s="1"/>
  <c r="G48" i="9" s="1"/>
  <c r="AL8" i="9" s="1"/>
  <c r="G21" i="9" l="1"/>
  <c r="G23" i="9" s="1"/>
  <c r="G37" i="9"/>
  <c r="H46" i="9"/>
  <c r="G24" i="9" l="1"/>
  <c r="H30" i="9"/>
  <c r="H31" i="9" s="1"/>
  <c r="G25" i="9" l="1"/>
  <c r="G26" i="9" s="1"/>
  <c r="AN8" i="9"/>
  <c r="G39" i="9"/>
  <c r="G49" i="9" s="1"/>
  <c r="H17" i="9"/>
  <c r="H33" i="9"/>
  <c r="H55" i="9"/>
  <c r="G44" i="9" l="1"/>
  <c r="H54" i="9"/>
  <c r="H56" i="9" s="1"/>
  <c r="H19" i="9"/>
  <c r="H20" i="9" s="1"/>
  <c r="H35" i="9" s="1"/>
  <c r="G51" i="9" l="1"/>
  <c r="AM8" i="9" s="1"/>
  <c r="AK8" i="9"/>
  <c r="H34" i="9"/>
  <c r="H36" i="9" s="1"/>
  <c r="H47" i="9" s="1"/>
  <c r="H48" i="9" s="1"/>
  <c r="AL9" i="9" s="1"/>
  <c r="H21" i="9"/>
  <c r="H23" i="9" s="1"/>
  <c r="H24" i="9" l="1"/>
  <c r="I46" i="9"/>
  <c r="H37" i="9"/>
  <c r="H25" i="9" l="1"/>
  <c r="H26" i="9" s="1"/>
  <c r="AN9" i="9"/>
  <c r="I17" i="9"/>
  <c r="H39" i="9"/>
  <c r="H44" i="9" s="1"/>
  <c r="AK9" i="9" s="1"/>
  <c r="I30" i="9"/>
  <c r="I31" i="9" s="1"/>
  <c r="H49" i="9" l="1"/>
  <c r="I54" i="9"/>
  <c r="I33" i="9"/>
  <c r="I55" i="9"/>
  <c r="H51" i="9"/>
  <c r="AM9" i="9" s="1"/>
  <c r="I19" i="9" l="1"/>
  <c r="I20" i="9" s="1"/>
  <c r="I35" i="9" s="1"/>
  <c r="I56" i="9"/>
  <c r="I34" i="9" l="1"/>
  <c r="I36" i="9" s="1"/>
  <c r="I47" i="9" s="1"/>
  <c r="I48" i="9" s="1"/>
  <c r="AL10" i="9" s="1"/>
  <c r="I21" i="9"/>
  <c r="I23" i="9" s="1"/>
  <c r="I24" i="9" l="1"/>
  <c r="I37" i="9"/>
  <c r="J46" i="9"/>
  <c r="I25" i="9" l="1"/>
  <c r="I26" i="9" s="1"/>
  <c r="AN10" i="9"/>
  <c r="J17" i="9"/>
  <c r="I39" i="9"/>
  <c r="I44" i="9" s="1"/>
  <c r="AK10" i="9" s="1"/>
  <c r="J30" i="9"/>
  <c r="AB46" i="9"/>
  <c r="J31" i="9" l="1"/>
  <c r="J55" i="9" s="1"/>
  <c r="J54" i="9"/>
  <c r="I49" i="9"/>
  <c r="AB30" i="9"/>
  <c r="I51" i="9"/>
  <c r="AM10" i="9" s="1"/>
  <c r="AB31" i="9" l="1"/>
  <c r="J33" i="9"/>
  <c r="AB33" i="9" s="1"/>
  <c r="J56" i="9"/>
  <c r="J19" i="9" l="1"/>
  <c r="J20" i="9" s="1"/>
  <c r="J35" i="9" s="1"/>
  <c r="J34" i="9" l="1"/>
  <c r="AB34" i="9" s="1"/>
  <c r="J21" i="9"/>
  <c r="J23" i="9" s="1"/>
  <c r="J36" i="9" l="1"/>
  <c r="J37" i="9" s="1"/>
  <c r="AB37" i="9" s="1"/>
  <c r="J24" i="9"/>
  <c r="J47" i="9" l="1"/>
  <c r="J48" i="9" s="1"/>
  <c r="AL11" i="9" s="1"/>
  <c r="AB36" i="9"/>
  <c r="K17" i="9"/>
  <c r="AN11" i="9"/>
  <c r="J25" i="9"/>
  <c r="J26" i="9" s="1"/>
  <c r="J39" i="9"/>
  <c r="J44" i="9" s="1"/>
  <c r="AK11" i="9" s="1"/>
  <c r="AB48" i="9" l="1"/>
  <c r="K46" i="9"/>
  <c r="K30" i="9" s="1"/>
  <c r="K31" i="9" s="1"/>
  <c r="AB39" i="9"/>
  <c r="J49" i="9"/>
  <c r="K54" i="9"/>
  <c r="J51" i="9"/>
  <c r="AM11" i="9" s="1"/>
  <c r="AB44" i="9"/>
  <c r="K33" i="9" l="1"/>
  <c r="K55" i="9"/>
  <c r="AB51" i="9"/>
  <c r="K19" i="9" l="1"/>
  <c r="K34" i="9" s="1"/>
  <c r="K56" i="9"/>
  <c r="K20" i="9" l="1"/>
  <c r="K35" i="9" s="1"/>
  <c r="K36" i="9" s="1"/>
  <c r="K47" i="9" s="1"/>
  <c r="K48" i="9" s="1"/>
  <c r="AL13" i="9" s="1"/>
  <c r="K21" i="9" l="1"/>
  <c r="L46" i="9"/>
  <c r="K37" i="9"/>
  <c r="K23" i="9" l="1"/>
  <c r="K24" i="9"/>
  <c r="AN13" i="9" s="1"/>
  <c r="L30" i="9"/>
  <c r="L31" i="9" s="1"/>
  <c r="L33" i="9" l="1"/>
  <c r="L55" i="9"/>
  <c r="K25" i="9"/>
  <c r="K26" i="9" s="1"/>
  <c r="L17" i="9"/>
  <c r="K39" i="9"/>
  <c r="K44" i="9" l="1"/>
  <c r="AK13" i="9" s="1"/>
  <c r="L54" i="9"/>
  <c r="L56" i="9" s="1"/>
  <c r="K49" i="9"/>
  <c r="L19" i="9"/>
  <c r="L34" i="9" s="1"/>
  <c r="L20" i="9" l="1"/>
  <c r="L35" i="9" s="1"/>
  <c r="L36" i="9" s="1"/>
  <c r="L47" i="9" s="1"/>
  <c r="L48" i="9" s="1"/>
  <c r="AL14" i="9" s="1"/>
  <c r="K51" i="9"/>
  <c r="AM13" i="9" s="1"/>
  <c r="L21" i="9" l="1"/>
  <c r="L23" i="9" s="1"/>
  <c r="L37" i="9"/>
  <c r="M46" i="9"/>
  <c r="L24" i="9" l="1"/>
  <c r="M30" i="9"/>
  <c r="M31" i="9" s="1"/>
  <c r="L39" i="9" l="1"/>
  <c r="L49" i="9" s="1"/>
  <c r="AN14" i="9"/>
  <c r="M33" i="9"/>
  <c r="M55" i="9"/>
  <c r="M17" i="9"/>
  <c r="L25" i="9"/>
  <c r="L26" i="9" s="1"/>
  <c r="M54" i="9" l="1"/>
  <c r="M56" i="9" s="1"/>
  <c r="L44" i="9"/>
  <c r="AK14" i="9" s="1"/>
  <c r="M19" i="9"/>
  <c r="M20" i="9" s="1"/>
  <c r="M35" i="9" s="1"/>
  <c r="L51" i="9" l="1"/>
  <c r="AM14" i="9" s="1"/>
  <c r="M34" i="9"/>
  <c r="M36" i="9" s="1"/>
  <c r="M47" i="9" s="1"/>
  <c r="M48" i="9" s="1"/>
  <c r="AL15" i="9" s="1"/>
  <c r="M21" i="9"/>
  <c r="M23" i="9" s="1"/>
  <c r="M24" i="9" l="1"/>
  <c r="M37" i="9"/>
  <c r="N46" i="9"/>
  <c r="M25" i="9" l="1"/>
  <c r="M26" i="9" s="1"/>
  <c r="AN15" i="9"/>
  <c r="M39" i="9"/>
  <c r="M44" i="9" s="1"/>
  <c r="AK15" i="9" s="1"/>
  <c r="N17" i="9"/>
  <c r="N30" i="9"/>
  <c r="N31" i="9" s="1"/>
  <c r="N33" i="9" l="1"/>
  <c r="N55" i="9"/>
  <c r="M49" i="9"/>
  <c r="N54" i="9"/>
  <c r="M51" i="9"/>
  <c r="AM15" i="9" s="1"/>
  <c r="N19" i="9" l="1"/>
  <c r="N34" i="9" s="1"/>
  <c r="N56" i="9"/>
  <c r="N20" i="9" l="1"/>
  <c r="N35" i="9" s="1"/>
  <c r="N36" i="9" s="1"/>
  <c r="N47" i="9" s="1"/>
  <c r="N48" i="9" s="1"/>
  <c r="AL16" i="9" s="1"/>
  <c r="N21" i="9" l="1"/>
  <c r="N24" i="9" s="1"/>
  <c r="O46" i="9"/>
  <c r="N37" i="9"/>
  <c r="N25" i="9" l="1"/>
  <c r="N26" i="9" s="1"/>
  <c r="AN16" i="9"/>
  <c r="N23" i="9"/>
  <c r="O17" i="9"/>
  <c r="N39" i="9"/>
  <c r="AC46" i="9"/>
  <c r="O30" i="9"/>
  <c r="O31" i="9" l="1"/>
  <c r="O55" i="9" s="1"/>
  <c r="O54" i="9"/>
  <c r="N44" i="9"/>
  <c r="AK16" i="9" s="1"/>
  <c r="N49" i="9"/>
  <c r="AC30" i="9"/>
  <c r="AC31" i="9" l="1"/>
  <c r="O33" i="9"/>
  <c r="O19" i="9" s="1"/>
  <c r="O56" i="9"/>
  <c r="N51" i="9"/>
  <c r="AM16" i="9" s="1"/>
  <c r="AC33" i="9" l="1"/>
  <c r="O34" i="9"/>
  <c r="O20" i="9"/>
  <c r="O35" i="9" s="1"/>
  <c r="O21" i="9" l="1"/>
  <c r="O23" i="9" s="1"/>
  <c r="AC34" i="9"/>
  <c r="O36" i="9"/>
  <c r="O37" i="9" s="1"/>
  <c r="AC37" i="9" s="1"/>
  <c r="O24" i="9" l="1"/>
  <c r="AC36" i="9"/>
  <c r="O47" i="9"/>
  <c r="O48" i="9" s="1"/>
  <c r="AL21" i="9" s="1"/>
  <c r="O25" i="9" l="1"/>
  <c r="O26" i="9" s="1"/>
  <c r="AN21" i="9"/>
  <c r="P17" i="9"/>
  <c r="O39" i="9"/>
  <c r="O49" i="9" s="1"/>
  <c r="AC48" i="9"/>
  <c r="P46" i="9"/>
  <c r="AC39" i="9" l="1"/>
  <c r="P54" i="9"/>
  <c r="O44" i="9"/>
  <c r="AK21" i="9" s="1"/>
  <c r="P30" i="9"/>
  <c r="P31" i="9" s="1"/>
  <c r="P33" i="9" l="1"/>
  <c r="P55" i="9"/>
  <c r="O51" i="9"/>
  <c r="AM21" i="9" s="1"/>
  <c r="AC44" i="9"/>
  <c r="AC51" i="9" l="1"/>
  <c r="P56" i="9"/>
  <c r="P19" i="9"/>
  <c r="P20" i="9" s="1"/>
  <c r="P35" i="9" s="1"/>
  <c r="P34" i="9" l="1"/>
  <c r="P36" i="9" s="1"/>
  <c r="P47" i="9" s="1"/>
  <c r="P48" i="9" s="1"/>
  <c r="AL22" i="9" s="1"/>
  <c r="P21" i="9"/>
  <c r="P23" i="9" s="1"/>
  <c r="P24" i="9" l="1"/>
  <c r="Q46" i="9"/>
  <c r="P37" i="9"/>
  <c r="P25" i="9" l="1"/>
  <c r="P26" i="9" s="1"/>
  <c r="AN22" i="9"/>
  <c r="Q17" i="9"/>
  <c r="P39" i="9"/>
  <c r="P49" i="9" s="1"/>
  <c r="Q30" i="9"/>
  <c r="Q31" i="9" s="1"/>
  <c r="Q33" i="9" l="1"/>
  <c r="Q55" i="9"/>
  <c r="Q54" i="9"/>
  <c r="P44" i="9"/>
  <c r="AK22" i="9" s="1"/>
  <c r="Q19" i="9" l="1"/>
  <c r="Q20" i="9" s="1"/>
  <c r="Q35" i="9" s="1"/>
  <c r="P51" i="9"/>
  <c r="AM22" i="9" s="1"/>
  <c r="Q56" i="9"/>
  <c r="Q34" i="9" l="1"/>
  <c r="Q36" i="9" s="1"/>
  <c r="Q47" i="9" s="1"/>
  <c r="Q48" i="9" s="1"/>
  <c r="AL24" i="9" s="1"/>
  <c r="Q21" i="9"/>
  <c r="Q23" i="9" s="1"/>
  <c r="Q24" i="9" l="1"/>
  <c r="AN24" i="9" s="1"/>
  <c r="R46" i="9"/>
  <c r="Q37" i="9"/>
  <c r="R17" i="9" l="1"/>
  <c r="Q39" i="9"/>
  <c r="R54" i="9" s="1"/>
  <c r="Q25" i="9"/>
  <c r="Q26" i="9" s="1"/>
  <c r="R30" i="9"/>
  <c r="R31" i="9" s="1"/>
  <c r="Q49" i="9" l="1"/>
  <c r="Q44" i="9"/>
  <c r="AK24" i="9" s="1"/>
  <c r="R33" i="9"/>
  <c r="R55" i="9"/>
  <c r="Q51" i="9" l="1"/>
  <c r="AM24" i="9" s="1"/>
  <c r="R56" i="9"/>
  <c r="R19" i="9"/>
  <c r="R34" i="9" s="1"/>
  <c r="R20" i="9" l="1"/>
  <c r="R35" i="9" s="1"/>
  <c r="R36" i="9" s="1"/>
  <c r="R47" i="9" s="1"/>
  <c r="R48" i="9" s="1"/>
  <c r="AL25" i="9" s="1"/>
  <c r="R21" i="9" l="1"/>
  <c r="R23" i="9" s="1"/>
  <c r="R37" i="9"/>
  <c r="S46" i="9"/>
  <c r="R24" i="9" l="1"/>
  <c r="S30" i="9"/>
  <c r="S31" i="9" s="1"/>
  <c r="R25" i="9" l="1"/>
  <c r="R26" i="9" s="1"/>
  <c r="AN25" i="9"/>
  <c r="R39" i="9"/>
  <c r="S54" i="9" s="1"/>
  <c r="S17" i="9"/>
  <c r="S33" i="9"/>
  <c r="S55" i="9"/>
  <c r="R49" i="9" l="1"/>
  <c r="R44" i="9"/>
  <c r="AK25" i="9" s="1"/>
  <c r="S19" i="9"/>
  <c r="S34" i="9" s="1"/>
  <c r="S56" i="9"/>
  <c r="R51" i="9" l="1"/>
  <c r="AM25" i="9" s="1"/>
  <c r="S20" i="9"/>
  <c r="S35" i="9" s="1"/>
  <c r="S36" i="9" s="1"/>
  <c r="S47" i="9" s="1"/>
  <c r="S48" i="9" s="1"/>
  <c r="AL27" i="9" s="1"/>
  <c r="S21" i="9" l="1"/>
  <c r="S23" i="9" s="1"/>
  <c r="S37" i="9"/>
  <c r="T46" i="9"/>
  <c r="S24" i="9" l="1"/>
  <c r="S25" i="9" s="1"/>
  <c r="S26" i="9" s="1"/>
  <c r="T30" i="9"/>
  <c r="AD46" i="9"/>
  <c r="S39" i="9" l="1"/>
  <c r="S44" i="9" s="1"/>
  <c r="AK27" i="9" s="1"/>
  <c r="T17" i="9"/>
  <c r="AN27" i="9"/>
  <c r="T31" i="9"/>
  <c r="T55" i="9" s="1"/>
  <c r="AD30" i="9"/>
  <c r="S49" i="9" l="1"/>
  <c r="T54" i="9"/>
  <c r="AD31" i="9"/>
  <c r="T33" i="9"/>
  <c r="S51" i="9"/>
  <c r="AM27" i="9" s="1"/>
  <c r="T56" i="9" l="1"/>
  <c r="T19" i="9"/>
  <c r="T34" i="9" s="1"/>
  <c r="AD33" i="9"/>
  <c r="T20" i="9" l="1"/>
  <c r="T35" i="9" s="1"/>
  <c r="T36" i="9" s="1"/>
  <c r="AD34" i="9"/>
  <c r="T21" i="9" l="1"/>
  <c r="T23" i="9" s="1"/>
  <c r="AD36" i="9"/>
  <c r="T47" i="9"/>
  <c r="T48" i="9" s="1"/>
  <c r="AL28" i="9" s="1"/>
  <c r="T37" i="9"/>
  <c r="AD37" i="9" s="1"/>
  <c r="T24" i="9" l="1"/>
  <c r="T25" i="9" s="1"/>
  <c r="T26" i="9" s="1"/>
  <c r="AD48" i="9"/>
  <c r="U46" i="9"/>
  <c r="U17" i="9" l="1"/>
  <c r="T39" i="9"/>
  <c r="T49" i="9" s="1"/>
  <c r="AN28" i="9"/>
  <c r="U30" i="9"/>
  <c r="U31" i="9" s="1"/>
  <c r="AD39" i="9" l="1"/>
  <c r="T44" i="9"/>
  <c r="T51" i="9" s="1"/>
  <c r="AM28" i="9" s="1"/>
  <c r="U54" i="9"/>
  <c r="U33" i="9"/>
  <c r="U55" i="9"/>
  <c r="AK28" i="9" l="1"/>
  <c r="AD44" i="9"/>
  <c r="AD51" i="9"/>
  <c r="U19" i="9"/>
  <c r="U34" i="9" s="1"/>
  <c r="U56" i="9"/>
  <c r="U20" i="9" l="1"/>
  <c r="U35" i="9" s="1"/>
  <c r="U36" i="9" s="1"/>
  <c r="U47" i="9" s="1"/>
  <c r="U48" i="9" s="1"/>
  <c r="AL29" i="9" s="1"/>
  <c r="U21" i="9" l="1"/>
  <c r="V46" i="9"/>
  <c r="U37" i="9"/>
  <c r="U23" i="9" l="1"/>
  <c r="U24" i="9"/>
  <c r="AN29" i="9" s="1"/>
  <c r="V30" i="9"/>
  <c r="V31" i="9" s="1"/>
  <c r="U25" i="9" l="1"/>
  <c r="U26" i="9" s="1"/>
  <c r="U39" i="9"/>
  <c r="V17" i="9"/>
  <c r="V33" i="9"/>
  <c r="V55" i="9"/>
  <c r="V54" i="9" l="1"/>
  <c r="V56" i="9" s="1"/>
  <c r="U44" i="9"/>
  <c r="AK29" i="9" s="1"/>
  <c r="U49" i="9"/>
  <c r="V19" i="9"/>
  <c r="V34" i="9" s="1"/>
  <c r="U51" i="9" l="1"/>
  <c r="AM29" i="9" s="1"/>
  <c r="V20" i="9"/>
  <c r="V35" i="9" s="1"/>
  <c r="V36" i="9" s="1"/>
  <c r="V47" i="9" s="1"/>
  <c r="V48" i="9" s="1"/>
  <c r="AL30" i="9" s="1"/>
  <c r="V21" i="9" l="1"/>
  <c r="V23" i="9" s="1"/>
  <c r="V37" i="9"/>
  <c r="W46" i="9"/>
  <c r="V24" i="9" l="1"/>
  <c r="W17" i="9" s="1"/>
  <c r="W30" i="9"/>
  <c r="W31" i="9" s="1"/>
  <c r="V39" i="9" l="1"/>
  <c r="V44" i="9" s="1"/>
  <c r="AK30" i="9" s="1"/>
  <c r="AN30" i="9"/>
  <c r="V25" i="9"/>
  <c r="V26" i="9" s="1"/>
  <c r="W33" i="9"/>
  <c r="W55" i="9"/>
  <c r="V49" i="9" l="1"/>
  <c r="W54" i="9"/>
  <c r="W56" i="9" s="1"/>
  <c r="W19" i="9"/>
  <c r="W20" i="9" s="1"/>
  <c r="W35" i="9" s="1"/>
  <c r="V51" i="9"/>
  <c r="AM30" i="9" s="1"/>
  <c r="W34" i="9" l="1"/>
  <c r="W36" i="9" s="1"/>
  <c r="W47" i="9" s="1"/>
  <c r="W48" i="9" s="1"/>
  <c r="AL31" i="9" s="1"/>
  <c r="W21" i="9"/>
  <c r="W37" i="9" l="1"/>
  <c r="X46" i="9"/>
  <c r="W23" i="9"/>
  <c r="W24" i="9"/>
  <c r="W25" i="9" l="1"/>
  <c r="W26" i="9" s="1"/>
  <c r="AN31" i="9"/>
  <c r="X30" i="9"/>
  <c r="X31" i="9" s="1"/>
  <c r="X17" i="9"/>
  <c r="W39" i="9"/>
  <c r="X33" i="9" l="1"/>
  <c r="X55" i="9"/>
  <c r="W44" i="9"/>
  <c r="AK31" i="9" s="1"/>
  <c r="X54" i="9"/>
  <c r="W49" i="9"/>
  <c r="X56" i="9" l="1"/>
  <c r="X19" i="9"/>
  <c r="X34" i="9" s="1"/>
  <c r="W51" i="9"/>
  <c r="AM31" i="9" s="1"/>
  <c r="X20" i="9" l="1"/>
  <c r="X35" i="9" s="1"/>
  <c r="X36" i="9" s="1"/>
  <c r="X47" i="9" s="1"/>
  <c r="X48" i="9" s="1"/>
  <c r="AL38" i="9" s="1"/>
  <c r="X21" i="9" l="1"/>
  <c r="X23" i="9" s="1"/>
  <c r="X37" i="9"/>
  <c r="Y46" i="9"/>
  <c r="X24" i="9" l="1"/>
  <c r="X39" i="9" s="1"/>
  <c r="AE46" i="9"/>
  <c r="Y30" i="9"/>
  <c r="Y17" i="9" l="1"/>
  <c r="X25" i="9"/>
  <c r="X26" i="9" s="1"/>
  <c r="AN38" i="9"/>
  <c r="Y31" i="9"/>
  <c r="Y55" i="9" s="1"/>
  <c r="AE30" i="9"/>
  <c r="X44" i="9"/>
  <c r="AK38" i="9" s="1"/>
  <c r="Y54" i="9"/>
  <c r="X49" i="9"/>
  <c r="AE31" i="9" l="1"/>
  <c r="Y33" i="9"/>
  <c r="Y19" i="9" s="1"/>
  <c r="X51" i="9"/>
  <c r="AM38" i="9" s="1"/>
  <c r="Y56" i="9"/>
  <c r="AE33" i="9" l="1"/>
  <c r="Y34" i="9"/>
  <c r="Y20" i="9"/>
  <c r="Y35" i="9" s="1"/>
  <c r="Y21" i="9" l="1"/>
  <c r="Y24" i="9" s="1"/>
  <c r="E89" i="9" s="1"/>
  <c r="AE34" i="9"/>
  <c r="Y36" i="9"/>
  <c r="Y25" i="9" l="1"/>
  <c r="Y26" i="9" s="1"/>
  <c r="AN39" i="9"/>
  <c r="Y23" i="9"/>
  <c r="Y37" i="9"/>
  <c r="AE37" i="9" s="1"/>
  <c r="Y47" i="9"/>
  <c r="Y48" i="9" s="1"/>
  <c r="AL39" i="9" s="1"/>
  <c r="AE36" i="9"/>
  <c r="Y39" i="9"/>
  <c r="Y44" i="9" l="1"/>
  <c r="AK39" i="9" s="1"/>
  <c r="AE39" i="9"/>
  <c r="AE48" i="9"/>
  <c r="Y49" i="9"/>
  <c r="Y51" i="9" l="1"/>
  <c r="AH49" i="9"/>
  <c r="AH46" i="9"/>
  <c r="AH47" i="9"/>
  <c r="AH17" i="9"/>
  <c r="AH48" i="9"/>
  <c r="AE44" i="9"/>
  <c r="D89" i="9" l="1"/>
  <c r="AM39" i="9"/>
  <c r="C89" i="9"/>
  <c r="AK6" i="5"/>
  <c r="AL6" i="5"/>
  <c r="AM6" i="5"/>
  <c r="AN6" i="5"/>
  <c r="AO6" i="5"/>
  <c r="AP6" i="5"/>
  <c r="AK7" i="5"/>
  <c r="AL7" i="5"/>
  <c r="AM7" i="5"/>
  <c r="AN7" i="5"/>
  <c r="AO7" i="5"/>
  <c r="AP7" i="5"/>
  <c r="AK8" i="5"/>
  <c r="AL8" i="5"/>
  <c r="AM8" i="5"/>
  <c r="AN8" i="5"/>
  <c r="AO8" i="5"/>
  <c r="AP8" i="5"/>
  <c r="AK9" i="5"/>
  <c r="AL9" i="5"/>
  <c r="AM9" i="5"/>
  <c r="AN9" i="5"/>
  <c r="AO9" i="5"/>
  <c r="AP9" i="5"/>
  <c r="AK10" i="5"/>
  <c r="AL10" i="5"/>
  <c r="AM10" i="5"/>
  <c r="AN10" i="5"/>
  <c r="AO10" i="5"/>
  <c r="AP10" i="5"/>
  <c r="AK11" i="5"/>
  <c r="AL11" i="5"/>
  <c r="AM11" i="5"/>
  <c r="AN11" i="5"/>
  <c r="AO11" i="5"/>
  <c r="AP11" i="5"/>
  <c r="AK12" i="5"/>
  <c r="AL12" i="5"/>
  <c r="AM12" i="5"/>
  <c r="AN12" i="5"/>
  <c r="AO12" i="5"/>
  <c r="AP12" i="5"/>
  <c r="AK13" i="5"/>
  <c r="AL13" i="5"/>
  <c r="AM13" i="5"/>
  <c r="AN13" i="5"/>
  <c r="AO13" i="5"/>
  <c r="AP13" i="5"/>
  <c r="AK14" i="5"/>
  <c r="AL14" i="5"/>
  <c r="AM14" i="5"/>
  <c r="AN14" i="5"/>
  <c r="AO14" i="5"/>
  <c r="AP14" i="5"/>
  <c r="AK15" i="5"/>
  <c r="AL15" i="5"/>
  <c r="AM15" i="5"/>
  <c r="AN15" i="5"/>
  <c r="AO15" i="5"/>
  <c r="AP15" i="5"/>
  <c r="AK16" i="5"/>
  <c r="AL16" i="5"/>
  <c r="AM16" i="5"/>
  <c r="AN16" i="5"/>
  <c r="AO16" i="5"/>
  <c r="AP16" i="5"/>
  <c r="AK17" i="5"/>
  <c r="AL17" i="5"/>
  <c r="AM17" i="5"/>
  <c r="AN17" i="5"/>
  <c r="AO17" i="5"/>
  <c r="AP17" i="5"/>
  <c r="AK18" i="5"/>
  <c r="AL18" i="5"/>
  <c r="AM18" i="5"/>
  <c r="AN18" i="5"/>
  <c r="AO18" i="5"/>
  <c r="AP18" i="5"/>
  <c r="AK19" i="5"/>
  <c r="AL19" i="5"/>
  <c r="AM19" i="5"/>
  <c r="AN19" i="5"/>
  <c r="AO19" i="5"/>
  <c r="AP19" i="5"/>
  <c r="D20" i="5"/>
  <c r="E20" i="5"/>
  <c r="F20" i="5"/>
  <c r="G20" i="5"/>
  <c r="H20" i="5"/>
  <c r="I20" i="5"/>
  <c r="J20" i="5"/>
  <c r="K20" i="5"/>
  <c r="L20" i="5"/>
  <c r="M20" i="5"/>
  <c r="N20" i="5"/>
  <c r="O20" i="5"/>
  <c r="P20" i="5"/>
  <c r="Q20" i="5"/>
  <c r="R20" i="5"/>
  <c r="S20" i="5"/>
  <c r="T20" i="5"/>
  <c r="U20" i="5"/>
  <c r="V20" i="5"/>
  <c r="W20" i="5"/>
  <c r="X20" i="5"/>
  <c r="Y20" i="5"/>
  <c r="AA20" i="5"/>
  <c r="AB20" i="5"/>
  <c r="AC20" i="5"/>
  <c r="AD20" i="5"/>
  <c r="AK20" i="5"/>
  <c r="AL20" i="5"/>
  <c r="AM20" i="5"/>
  <c r="AN20" i="5"/>
  <c r="AO20" i="5"/>
  <c r="AP20" i="5"/>
  <c r="D21" i="5"/>
  <c r="E21" i="5"/>
  <c r="F21" i="5"/>
  <c r="G21" i="5"/>
  <c r="H21" i="5"/>
  <c r="I21" i="5"/>
  <c r="J21" i="5"/>
  <c r="K21" i="5"/>
  <c r="L21" i="5"/>
  <c r="M21" i="5"/>
  <c r="N21" i="5"/>
  <c r="O21" i="5"/>
  <c r="P21" i="5"/>
  <c r="Q21" i="5"/>
  <c r="R21" i="5"/>
  <c r="S21" i="5"/>
  <c r="T21" i="5"/>
  <c r="U21" i="5"/>
  <c r="V21" i="5"/>
  <c r="W21" i="5"/>
  <c r="X21" i="5"/>
  <c r="Y21" i="5"/>
  <c r="AA21" i="5"/>
  <c r="AB21" i="5"/>
  <c r="AC21" i="5"/>
  <c r="AD21" i="5"/>
  <c r="AE21" i="5"/>
  <c r="AK21" i="5"/>
  <c r="AL21" i="5"/>
  <c r="AM21" i="5"/>
  <c r="AN21" i="5"/>
  <c r="AO21" i="5"/>
  <c r="AP21" i="5"/>
  <c r="AK22" i="5"/>
  <c r="AL22" i="5"/>
  <c r="AM22" i="5"/>
  <c r="AN22" i="5"/>
  <c r="AO22" i="5"/>
  <c r="AP22" i="5"/>
  <c r="AK23" i="5"/>
  <c r="AL23" i="5"/>
  <c r="AM23" i="5"/>
  <c r="AN23" i="5"/>
  <c r="AO23" i="5"/>
  <c r="AP23" i="5"/>
  <c r="D24" i="5"/>
  <c r="E24" i="5"/>
  <c r="F24" i="5"/>
  <c r="G24" i="5"/>
  <c r="H24" i="5"/>
  <c r="I24" i="5"/>
  <c r="J24" i="5"/>
  <c r="K24" i="5"/>
  <c r="L24" i="5"/>
  <c r="M24" i="5"/>
  <c r="N24" i="5"/>
  <c r="O24" i="5"/>
  <c r="P24" i="5"/>
  <c r="Q24" i="5"/>
  <c r="R24" i="5"/>
  <c r="S24" i="5"/>
  <c r="T24" i="5"/>
  <c r="U24" i="5"/>
  <c r="V24" i="5"/>
  <c r="W24" i="5"/>
  <c r="X24" i="5"/>
  <c r="Y24" i="5"/>
  <c r="AE24" i="5"/>
  <c r="AK24" i="5"/>
  <c r="AL24" i="5"/>
  <c r="AM24" i="5"/>
  <c r="AN24" i="5"/>
  <c r="AO24" i="5"/>
  <c r="AP24" i="5"/>
  <c r="D25" i="5"/>
  <c r="E25" i="5"/>
  <c r="F25" i="5"/>
  <c r="G25" i="5"/>
  <c r="H25" i="5"/>
  <c r="I25" i="5"/>
  <c r="J25" i="5"/>
  <c r="K25" i="5"/>
  <c r="L25" i="5"/>
  <c r="M25" i="5"/>
  <c r="N25" i="5"/>
  <c r="O25" i="5"/>
  <c r="P25" i="5"/>
  <c r="Q25" i="5"/>
  <c r="R25" i="5"/>
  <c r="S25" i="5"/>
  <c r="T25" i="5"/>
  <c r="U25" i="5"/>
  <c r="V25" i="5"/>
  <c r="W25" i="5"/>
  <c r="X25" i="5"/>
  <c r="Y25" i="5"/>
  <c r="AE25" i="5"/>
  <c r="AK25" i="5"/>
  <c r="AL25" i="5"/>
  <c r="AM25" i="5"/>
  <c r="AN25" i="5"/>
  <c r="AO25" i="5"/>
  <c r="AP25" i="5"/>
  <c r="D26" i="5"/>
  <c r="E26" i="5"/>
  <c r="F26" i="5"/>
  <c r="G26" i="5"/>
  <c r="H26" i="5"/>
  <c r="I26" i="5"/>
  <c r="J26" i="5"/>
  <c r="K26" i="5"/>
  <c r="L26" i="5"/>
  <c r="M26" i="5"/>
  <c r="N26" i="5"/>
  <c r="O26" i="5"/>
  <c r="P26" i="5"/>
  <c r="Q26" i="5"/>
  <c r="R26" i="5"/>
  <c r="S26" i="5"/>
  <c r="T26" i="5"/>
  <c r="U26" i="5"/>
  <c r="V26" i="5"/>
  <c r="W26" i="5"/>
  <c r="X26" i="5"/>
  <c r="Y26" i="5"/>
  <c r="AK26" i="5"/>
  <c r="AL26" i="5"/>
  <c r="AM26" i="5"/>
  <c r="AN26" i="5"/>
  <c r="AO26" i="5"/>
  <c r="AP26" i="5"/>
  <c r="D27" i="5"/>
  <c r="E27" i="5"/>
  <c r="F27" i="5"/>
  <c r="G27" i="5"/>
  <c r="H27" i="5"/>
  <c r="I27" i="5"/>
  <c r="J27" i="5"/>
  <c r="K27" i="5"/>
  <c r="L27" i="5"/>
  <c r="M27" i="5"/>
  <c r="N27" i="5"/>
  <c r="O27" i="5"/>
  <c r="P27" i="5"/>
  <c r="Q27" i="5"/>
  <c r="R27" i="5"/>
  <c r="S27" i="5"/>
  <c r="T27" i="5"/>
  <c r="U27" i="5"/>
  <c r="V27" i="5"/>
  <c r="W27" i="5"/>
  <c r="X27" i="5"/>
  <c r="Y27" i="5"/>
  <c r="AE27" i="5"/>
  <c r="AK27" i="5"/>
  <c r="AL27" i="5"/>
  <c r="AM27" i="5"/>
  <c r="AN27" i="5"/>
  <c r="AO27" i="5"/>
  <c r="AP27" i="5"/>
  <c r="D28" i="5"/>
  <c r="E28" i="5"/>
  <c r="F28" i="5"/>
  <c r="G28" i="5"/>
  <c r="H28" i="5"/>
  <c r="I28" i="5"/>
  <c r="J28" i="5"/>
  <c r="K28" i="5"/>
  <c r="L28" i="5"/>
  <c r="M28" i="5"/>
  <c r="N28" i="5"/>
  <c r="O28" i="5"/>
  <c r="P28" i="5"/>
  <c r="Q28" i="5"/>
  <c r="R28" i="5"/>
  <c r="S28" i="5"/>
  <c r="T28" i="5"/>
  <c r="U28" i="5"/>
  <c r="V28" i="5"/>
  <c r="W28" i="5"/>
  <c r="X28" i="5"/>
  <c r="Y28" i="5"/>
  <c r="AE28" i="5"/>
  <c r="D32" i="5"/>
  <c r="E32" i="5"/>
  <c r="F32" i="5"/>
  <c r="G32" i="5"/>
  <c r="H32" i="5"/>
  <c r="I32" i="5"/>
  <c r="J32" i="5"/>
  <c r="K32" i="5"/>
  <c r="L32" i="5"/>
  <c r="M32" i="5"/>
  <c r="N32" i="5"/>
  <c r="O32" i="5"/>
  <c r="P32" i="5"/>
  <c r="Q32" i="5"/>
  <c r="R32" i="5"/>
  <c r="S32" i="5"/>
  <c r="T32" i="5"/>
  <c r="U32" i="5"/>
  <c r="V32" i="5"/>
  <c r="W32" i="5"/>
  <c r="X32" i="5"/>
  <c r="Y32" i="5"/>
  <c r="AE32" i="5"/>
  <c r="D33" i="5"/>
  <c r="E33" i="5"/>
  <c r="F33" i="5"/>
  <c r="G33" i="5"/>
  <c r="H33" i="5"/>
  <c r="I33" i="5"/>
  <c r="J33" i="5"/>
  <c r="K33" i="5"/>
  <c r="L33" i="5"/>
  <c r="M33" i="5"/>
  <c r="N33" i="5"/>
  <c r="O33" i="5"/>
  <c r="P33" i="5"/>
  <c r="Q33" i="5"/>
  <c r="R33" i="5"/>
  <c r="S33" i="5"/>
  <c r="T33" i="5"/>
  <c r="U33" i="5"/>
  <c r="V33" i="5"/>
  <c r="W33" i="5"/>
  <c r="X33" i="5"/>
  <c r="Y33" i="5"/>
  <c r="AE33" i="5"/>
  <c r="D34" i="5"/>
  <c r="E34" i="5"/>
  <c r="F34" i="5"/>
  <c r="G34" i="5"/>
  <c r="H34" i="5"/>
  <c r="I34" i="5"/>
  <c r="J34" i="5"/>
  <c r="K34" i="5"/>
  <c r="L34" i="5"/>
  <c r="M34" i="5"/>
  <c r="N34" i="5"/>
  <c r="O34" i="5"/>
  <c r="P34" i="5"/>
  <c r="Q34" i="5"/>
  <c r="R34" i="5"/>
  <c r="S34" i="5"/>
  <c r="T34" i="5"/>
  <c r="U34" i="5"/>
  <c r="V34" i="5"/>
  <c r="W34" i="5"/>
  <c r="X34" i="5"/>
  <c r="Y34" i="5"/>
  <c r="AE34" i="5"/>
  <c r="D35" i="5"/>
  <c r="E35" i="5"/>
  <c r="F35" i="5"/>
  <c r="G35" i="5"/>
  <c r="H35" i="5"/>
  <c r="I35" i="5"/>
  <c r="J35" i="5"/>
  <c r="K35" i="5"/>
  <c r="L35" i="5"/>
  <c r="M35" i="5"/>
  <c r="N35" i="5"/>
  <c r="O35" i="5"/>
  <c r="P35" i="5"/>
  <c r="Q35" i="5"/>
  <c r="R35" i="5"/>
  <c r="S35" i="5"/>
  <c r="T35" i="5"/>
  <c r="U35" i="5"/>
  <c r="V35" i="5"/>
  <c r="W35" i="5"/>
  <c r="X35" i="5"/>
  <c r="Y35" i="5"/>
  <c r="AE35" i="5"/>
  <c r="D36" i="5"/>
  <c r="E36" i="5"/>
  <c r="F36" i="5"/>
  <c r="G36" i="5"/>
  <c r="H36" i="5"/>
  <c r="I36" i="5"/>
  <c r="J36" i="5"/>
  <c r="K36" i="5"/>
  <c r="L36" i="5"/>
  <c r="M36" i="5"/>
  <c r="N36" i="5"/>
  <c r="O36" i="5"/>
  <c r="P36" i="5"/>
  <c r="Q36" i="5"/>
  <c r="R36" i="5"/>
  <c r="S36" i="5"/>
  <c r="T36" i="5"/>
  <c r="U36" i="5"/>
  <c r="V36" i="5"/>
  <c r="W36" i="5"/>
  <c r="X36" i="5"/>
  <c r="Y36" i="5"/>
  <c r="AE36" i="5"/>
  <c r="D37" i="5"/>
  <c r="E37" i="5"/>
  <c r="F37" i="5"/>
  <c r="G37" i="5"/>
  <c r="H37" i="5"/>
  <c r="I37" i="5"/>
  <c r="J37" i="5"/>
  <c r="K37" i="5"/>
  <c r="L37" i="5"/>
  <c r="M37" i="5"/>
  <c r="N37" i="5"/>
  <c r="O37" i="5"/>
  <c r="P37" i="5"/>
  <c r="Q37" i="5"/>
  <c r="R37" i="5"/>
  <c r="S37" i="5"/>
  <c r="T37" i="5"/>
  <c r="U37" i="5"/>
  <c r="V37" i="5"/>
  <c r="W37" i="5"/>
  <c r="X37" i="5"/>
  <c r="Y37" i="5"/>
  <c r="AE37" i="5"/>
  <c r="D41" i="5"/>
  <c r="E41" i="5"/>
  <c r="F41" i="5"/>
  <c r="G41" i="5"/>
  <c r="H41" i="5"/>
  <c r="I41" i="5"/>
  <c r="J41" i="5"/>
  <c r="K41" i="5"/>
  <c r="L41" i="5"/>
  <c r="M41" i="5"/>
  <c r="N41" i="5"/>
  <c r="O41" i="5"/>
  <c r="P41" i="5"/>
  <c r="Q41" i="5"/>
  <c r="R41" i="5"/>
  <c r="S41" i="5"/>
  <c r="T41" i="5"/>
  <c r="U41" i="5"/>
  <c r="V41" i="5"/>
  <c r="W41" i="5"/>
  <c r="X41" i="5"/>
  <c r="Y41" i="5"/>
  <c r="AE41" i="5"/>
  <c r="D42" i="5"/>
  <c r="E42" i="5"/>
  <c r="F42" i="5"/>
  <c r="G42" i="5"/>
  <c r="H42" i="5"/>
  <c r="I42" i="5"/>
  <c r="J42" i="5"/>
  <c r="K42" i="5"/>
  <c r="L42" i="5"/>
  <c r="M42" i="5"/>
  <c r="N42" i="5"/>
  <c r="O42" i="5"/>
  <c r="P42" i="5"/>
  <c r="Q42" i="5"/>
  <c r="R42" i="5"/>
  <c r="S42" i="5"/>
  <c r="T42" i="5"/>
  <c r="U42" i="5"/>
  <c r="V42" i="5"/>
  <c r="W42" i="5"/>
  <c r="X42" i="5"/>
  <c r="Y42" i="5"/>
  <c r="AE42" i="5"/>
  <c r="D43" i="5"/>
  <c r="E43" i="5"/>
  <c r="F43" i="5"/>
  <c r="G43" i="5"/>
  <c r="H43" i="5"/>
  <c r="I43" i="5"/>
  <c r="J43" i="5"/>
  <c r="K43" i="5"/>
  <c r="L43" i="5"/>
  <c r="M43" i="5"/>
  <c r="N43" i="5"/>
  <c r="O43" i="5"/>
  <c r="P43" i="5"/>
  <c r="Q43" i="5"/>
  <c r="R43" i="5"/>
  <c r="S43" i="5"/>
  <c r="T43" i="5"/>
  <c r="U43" i="5"/>
  <c r="V43" i="5"/>
  <c r="W43" i="5"/>
  <c r="X43" i="5"/>
  <c r="Y43" i="5"/>
  <c r="AE43" i="5"/>
  <c r="D44" i="5"/>
  <c r="E44" i="5"/>
  <c r="F44" i="5"/>
  <c r="G44" i="5"/>
  <c r="H44" i="5"/>
  <c r="I44" i="5"/>
  <c r="J44" i="5"/>
  <c r="K44" i="5"/>
  <c r="L44" i="5"/>
  <c r="M44" i="5"/>
  <c r="N44" i="5"/>
  <c r="O44" i="5"/>
  <c r="P44" i="5"/>
  <c r="Q44" i="5"/>
  <c r="R44" i="5"/>
  <c r="S44" i="5"/>
  <c r="T44" i="5"/>
  <c r="U44" i="5"/>
  <c r="V44" i="5"/>
  <c r="W44" i="5"/>
  <c r="X44" i="5"/>
  <c r="Y44" i="5"/>
  <c r="AE44" i="5"/>
  <c r="D46" i="5"/>
  <c r="E46" i="5"/>
  <c r="F46" i="5"/>
  <c r="G46" i="5"/>
  <c r="H46" i="5"/>
  <c r="I46" i="5"/>
  <c r="J46" i="5"/>
  <c r="K46" i="5"/>
  <c r="L46" i="5"/>
  <c r="M46" i="5"/>
  <c r="N46" i="5"/>
  <c r="O46" i="5"/>
  <c r="P46" i="5"/>
  <c r="Q46" i="5"/>
  <c r="R46" i="5"/>
  <c r="S46" i="5"/>
  <c r="T46" i="5"/>
  <c r="U46" i="5"/>
  <c r="V46" i="5"/>
  <c r="W46" i="5"/>
  <c r="X46" i="5"/>
  <c r="Y46" i="5"/>
  <c r="AE46" i="5"/>
  <c r="D47" i="5"/>
  <c r="E47" i="5"/>
  <c r="F47" i="5"/>
  <c r="G47" i="5"/>
  <c r="H47" i="5"/>
  <c r="I47" i="5"/>
  <c r="J47" i="5"/>
  <c r="K47" i="5"/>
  <c r="L47" i="5"/>
  <c r="M47" i="5"/>
  <c r="N47" i="5"/>
  <c r="O47" i="5"/>
  <c r="P47" i="5"/>
  <c r="Q47" i="5"/>
  <c r="R47" i="5"/>
  <c r="S47" i="5"/>
  <c r="T47" i="5"/>
  <c r="U47" i="5"/>
  <c r="V47" i="5"/>
  <c r="W47" i="5"/>
  <c r="X47" i="5"/>
  <c r="Y47" i="5"/>
  <c r="AE47" i="5"/>
  <c r="D48" i="5"/>
  <c r="E48" i="5"/>
  <c r="F48" i="5"/>
  <c r="G48" i="5"/>
  <c r="H48" i="5"/>
  <c r="I48" i="5"/>
  <c r="J48" i="5"/>
  <c r="K48" i="5"/>
  <c r="L48" i="5"/>
  <c r="M48" i="5"/>
  <c r="N48" i="5"/>
  <c r="O48" i="5"/>
  <c r="P48" i="5"/>
  <c r="Q48" i="5"/>
  <c r="R48" i="5"/>
  <c r="S48" i="5"/>
  <c r="T48" i="5"/>
  <c r="U48" i="5"/>
  <c r="V48" i="5"/>
  <c r="W48" i="5"/>
  <c r="X48" i="5"/>
  <c r="Y48" i="5"/>
  <c r="AE48" i="5"/>
  <c r="C80" i="5"/>
  <c r="D80" i="5"/>
  <c r="E80" i="5"/>
  <c r="D103" i="5"/>
  <c r="E103" i="5"/>
  <c r="F103" i="5"/>
  <c r="G103" i="5"/>
  <c r="H103" i="5"/>
  <c r="I103" i="5"/>
  <c r="J103" i="5"/>
  <c r="K103" i="5"/>
  <c r="L103" i="5"/>
  <c r="M103" i="5"/>
  <c r="N103" i="5"/>
  <c r="O103" i="5"/>
  <c r="P103" i="5"/>
  <c r="Q103" i="5"/>
  <c r="R103" i="5"/>
  <c r="S103" i="5"/>
  <c r="T103" i="5"/>
  <c r="U103" i="5"/>
  <c r="V103" i="5"/>
  <c r="W103" i="5"/>
  <c r="X103" i="5"/>
  <c r="Y103" i="5"/>
  <c r="AA103" i="5"/>
  <c r="AB103" i="5"/>
  <c r="AC103" i="5"/>
  <c r="AD103" i="5"/>
  <c r="AE103" i="5"/>
  <c r="D104" i="5"/>
  <c r="E104" i="5"/>
  <c r="F104" i="5"/>
  <c r="G104" i="5"/>
  <c r="H104" i="5"/>
  <c r="I104" i="5"/>
  <c r="J104" i="5"/>
  <c r="K104" i="5"/>
  <c r="L104" i="5"/>
  <c r="M104" i="5"/>
  <c r="N104" i="5"/>
  <c r="O104" i="5"/>
  <c r="P104" i="5"/>
  <c r="Q104" i="5"/>
  <c r="R104" i="5"/>
  <c r="S104" i="5"/>
  <c r="T104" i="5"/>
  <c r="U104" i="5"/>
  <c r="V104" i="5"/>
  <c r="W104" i="5"/>
  <c r="X104" i="5"/>
  <c r="Y104" i="5"/>
  <c r="AA104" i="5"/>
  <c r="AB104" i="5"/>
  <c r="AC104" i="5"/>
  <c r="AD104" i="5"/>
  <c r="AE104" i="5"/>
  <c r="D105" i="5"/>
  <c r="E105" i="5"/>
  <c r="F105" i="5"/>
  <c r="G105" i="5"/>
  <c r="H105" i="5"/>
  <c r="I105" i="5"/>
  <c r="J105" i="5"/>
  <c r="K105" i="5"/>
  <c r="L105" i="5"/>
  <c r="M105" i="5"/>
  <c r="N105" i="5"/>
  <c r="O105" i="5"/>
  <c r="P105" i="5"/>
  <c r="Q105" i="5"/>
  <c r="R105" i="5"/>
  <c r="S105" i="5"/>
  <c r="T105" i="5"/>
  <c r="U105" i="5"/>
  <c r="V105" i="5"/>
  <c r="W105" i="5"/>
  <c r="X105" i="5"/>
  <c r="Y105" i="5"/>
  <c r="AA105" i="5"/>
  <c r="AB105" i="5"/>
  <c r="AC105" i="5"/>
  <c r="AD105" i="5"/>
  <c r="AE105" i="5"/>
  <c r="D106" i="5"/>
  <c r="E106" i="5"/>
  <c r="F106" i="5"/>
  <c r="G106" i="5"/>
  <c r="H106" i="5"/>
  <c r="I106" i="5"/>
  <c r="J106" i="5"/>
  <c r="K106" i="5"/>
  <c r="L106" i="5"/>
  <c r="M106" i="5"/>
  <c r="N106" i="5"/>
  <c r="O106" i="5"/>
  <c r="P106" i="5"/>
  <c r="Q106" i="5"/>
  <c r="R106" i="5"/>
  <c r="S106" i="5"/>
  <c r="T106" i="5"/>
  <c r="U106" i="5"/>
  <c r="V106" i="5"/>
  <c r="W106" i="5"/>
  <c r="X106" i="5"/>
  <c r="Y106" i="5"/>
  <c r="AA106" i="5"/>
  <c r="AB106" i="5"/>
  <c r="AC106" i="5"/>
  <c r="AD106" i="5"/>
  <c r="AE106" i="5"/>
  <c r="D107" i="5"/>
  <c r="E107" i="5"/>
  <c r="F107" i="5"/>
  <c r="G107" i="5"/>
  <c r="H107" i="5"/>
  <c r="I107" i="5"/>
  <c r="J107" i="5"/>
  <c r="K107" i="5"/>
  <c r="L107" i="5"/>
  <c r="M107" i="5"/>
  <c r="N107" i="5"/>
  <c r="O107" i="5"/>
  <c r="P107" i="5"/>
  <c r="Q107" i="5"/>
  <c r="R107" i="5"/>
  <c r="S107" i="5"/>
  <c r="T107" i="5"/>
  <c r="U107" i="5"/>
  <c r="V107" i="5"/>
  <c r="W107" i="5"/>
  <c r="X107" i="5"/>
  <c r="Y107" i="5"/>
  <c r="AA107" i="5"/>
  <c r="AB107" i="5"/>
  <c r="AC107" i="5"/>
  <c r="AD107" i="5"/>
  <c r="AE107" i="5"/>
  <c r="D109" i="5"/>
  <c r="E109" i="5"/>
  <c r="F109" i="5"/>
  <c r="G109" i="5"/>
  <c r="H109" i="5"/>
  <c r="I109" i="5"/>
  <c r="J109" i="5"/>
  <c r="K109" i="5"/>
  <c r="L109" i="5"/>
  <c r="M109" i="5"/>
  <c r="N109" i="5"/>
  <c r="O109" i="5"/>
  <c r="P109" i="5"/>
  <c r="Q109" i="5"/>
  <c r="R109" i="5"/>
  <c r="S109" i="5"/>
  <c r="T109" i="5"/>
  <c r="U109" i="5"/>
  <c r="V109" i="5"/>
  <c r="W109" i="5"/>
  <c r="X109" i="5"/>
  <c r="Y109" i="5"/>
  <c r="AA109" i="5"/>
  <c r="AB109" i="5"/>
  <c r="AC109" i="5"/>
  <c r="AD109" i="5"/>
  <c r="AE109" i="5"/>
  <c r="D110" i="5"/>
  <c r="E110" i="5"/>
  <c r="F110" i="5"/>
  <c r="G110" i="5"/>
  <c r="H110" i="5"/>
  <c r="I110" i="5"/>
  <c r="J110" i="5"/>
  <c r="K110" i="5"/>
  <c r="L110" i="5"/>
  <c r="M110" i="5"/>
  <c r="N110" i="5"/>
  <c r="O110" i="5"/>
  <c r="P110" i="5"/>
  <c r="Q110" i="5"/>
  <c r="R110" i="5"/>
  <c r="S110" i="5"/>
  <c r="T110" i="5"/>
  <c r="U110" i="5"/>
  <c r="V110" i="5"/>
  <c r="W110" i="5"/>
  <c r="X110" i="5"/>
  <c r="Y110" i="5"/>
  <c r="AA110" i="5"/>
  <c r="AB110" i="5"/>
  <c r="AC110" i="5"/>
  <c r="AD110" i="5"/>
  <c r="AE110" i="5"/>
  <c r="D111" i="5"/>
  <c r="E111" i="5"/>
  <c r="F111" i="5"/>
  <c r="G111" i="5"/>
  <c r="H111" i="5"/>
  <c r="I111" i="5"/>
  <c r="J111" i="5"/>
  <c r="K111" i="5"/>
  <c r="L111" i="5"/>
  <c r="M111" i="5"/>
  <c r="N111" i="5"/>
  <c r="O111" i="5"/>
  <c r="P111" i="5"/>
  <c r="Q111" i="5"/>
  <c r="R111" i="5"/>
  <c r="S111" i="5"/>
  <c r="T111" i="5"/>
  <c r="U111" i="5"/>
  <c r="V111" i="5"/>
  <c r="W111" i="5"/>
  <c r="X111" i="5"/>
  <c r="Y111" i="5"/>
  <c r="AA111" i="5"/>
  <c r="AB111" i="5"/>
  <c r="AC111" i="5"/>
  <c r="AD111" i="5"/>
  <c r="AE111" i="5"/>
  <c r="D112" i="5"/>
  <c r="E112" i="5"/>
  <c r="F112" i="5"/>
  <c r="G112" i="5"/>
  <c r="H112" i="5"/>
  <c r="I112" i="5"/>
  <c r="J112" i="5"/>
  <c r="K112" i="5"/>
  <c r="L112" i="5"/>
  <c r="M112" i="5"/>
  <c r="N112" i="5"/>
  <c r="O112" i="5"/>
  <c r="P112" i="5"/>
  <c r="Q112" i="5"/>
  <c r="R112" i="5"/>
  <c r="S112" i="5"/>
  <c r="T112" i="5"/>
  <c r="U112" i="5"/>
  <c r="V112" i="5"/>
  <c r="W112" i="5"/>
  <c r="X112" i="5"/>
  <c r="Y112" i="5"/>
  <c r="AA112" i="5"/>
  <c r="AB112" i="5"/>
  <c r="AC112" i="5"/>
  <c r="AD112" i="5"/>
  <c r="AE112" i="5"/>
  <c r="E114" i="5"/>
  <c r="F114" i="5"/>
  <c r="G114" i="5"/>
  <c r="H114" i="5"/>
  <c r="I114" i="5"/>
  <c r="J114" i="5"/>
  <c r="K114" i="5"/>
  <c r="L114" i="5"/>
  <c r="M114" i="5"/>
  <c r="N114" i="5"/>
  <c r="O114" i="5"/>
  <c r="P114" i="5"/>
  <c r="Q114" i="5"/>
  <c r="R114" i="5"/>
  <c r="S114" i="5"/>
  <c r="T114" i="5"/>
  <c r="U114" i="5"/>
  <c r="V114" i="5"/>
  <c r="W114" i="5"/>
  <c r="X114" i="5"/>
  <c r="Y114" i="5"/>
  <c r="AA114" i="5"/>
  <c r="AB114" i="5"/>
  <c r="AC114" i="5"/>
  <c r="AD114" i="5"/>
  <c r="AE114" i="5"/>
  <c r="D115" i="5"/>
  <c r="E115" i="5"/>
  <c r="F115" i="5"/>
  <c r="G115" i="5"/>
  <c r="H115" i="5"/>
  <c r="I115" i="5"/>
  <c r="J115" i="5"/>
  <c r="K115" i="5"/>
  <c r="L115" i="5"/>
  <c r="M115" i="5"/>
  <c r="N115" i="5"/>
  <c r="O115" i="5"/>
  <c r="P115" i="5"/>
  <c r="Q115" i="5"/>
  <c r="R115" i="5"/>
  <c r="S115" i="5"/>
  <c r="T115" i="5"/>
  <c r="U115" i="5"/>
  <c r="V115" i="5"/>
  <c r="W115" i="5"/>
  <c r="X115" i="5"/>
  <c r="Y115" i="5"/>
  <c r="AA115" i="5"/>
  <c r="AB115" i="5"/>
  <c r="AC115" i="5"/>
  <c r="AD115" i="5"/>
  <c r="AE115" i="5"/>
  <c r="E116" i="5"/>
  <c r="F116" i="5"/>
  <c r="G116" i="5"/>
  <c r="H116" i="5"/>
  <c r="I116" i="5"/>
  <c r="J116" i="5"/>
  <c r="K116" i="5"/>
  <c r="L116" i="5"/>
  <c r="M116" i="5"/>
  <c r="N116" i="5"/>
  <c r="O116" i="5"/>
  <c r="P116" i="5"/>
  <c r="Q116" i="5"/>
  <c r="R116" i="5"/>
  <c r="S116" i="5"/>
  <c r="T116" i="5"/>
  <c r="U116" i="5"/>
  <c r="V116" i="5"/>
  <c r="W116" i="5"/>
  <c r="X116" i="5"/>
  <c r="Y116" i="5"/>
  <c r="AA116" i="5"/>
  <c r="AB116" i="5"/>
  <c r="AC116" i="5"/>
  <c r="AD116" i="5"/>
  <c r="AE116" i="5"/>
  <c r="D117" i="5"/>
  <c r="E117" i="5"/>
  <c r="F117" i="5"/>
  <c r="G117" i="5"/>
  <c r="H117" i="5"/>
  <c r="I117" i="5"/>
  <c r="J117" i="5"/>
  <c r="K117" i="5"/>
  <c r="L117" i="5"/>
  <c r="M117" i="5"/>
  <c r="N117" i="5"/>
  <c r="O117" i="5"/>
  <c r="P117" i="5"/>
  <c r="Q117" i="5"/>
  <c r="R117" i="5"/>
  <c r="S117" i="5"/>
  <c r="T117" i="5"/>
  <c r="U117" i="5"/>
  <c r="V117" i="5"/>
  <c r="W117" i="5"/>
  <c r="X117" i="5"/>
  <c r="Y117" i="5"/>
  <c r="AA117" i="5"/>
  <c r="AB117" i="5"/>
  <c r="AC117" i="5"/>
  <c r="AD117" i="5"/>
  <c r="AE117" i="5"/>
  <c r="E119" i="5"/>
  <c r="F119" i="5"/>
  <c r="G119" i="5"/>
  <c r="H119" i="5"/>
  <c r="I119" i="5"/>
  <c r="J119" i="5"/>
  <c r="K119" i="5"/>
  <c r="L119" i="5"/>
  <c r="M119" i="5"/>
  <c r="N119" i="5"/>
  <c r="O119" i="5"/>
  <c r="P119" i="5"/>
  <c r="Q119" i="5"/>
  <c r="R119" i="5"/>
  <c r="S119" i="5"/>
  <c r="T119" i="5"/>
  <c r="U119" i="5"/>
  <c r="V119" i="5"/>
  <c r="W119" i="5"/>
  <c r="X119" i="5"/>
  <c r="Y119" i="5"/>
  <c r="AA119" i="5"/>
  <c r="AB119" i="5"/>
  <c r="AC119" i="5"/>
  <c r="AD119" i="5"/>
  <c r="AE119" i="5"/>
  <c r="D120" i="5"/>
  <c r="E120" i="5"/>
  <c r="F120" i="5"/>
  <c r="G120" i="5"/>
  <c r="H120" i="5"/>
  <c r="I120" i="5"/>
  <c r="J120" i="5"/>
  <c r="K120" i="5"/>
  <c r="L120" i="5"/>
  <c r="M120" i="5"/>
  <c r="N120" i="5"/>
  <c r="O120" i="5"/>
  <c r="P120" i="5"/>
  <c r="Q120" i="5"/>
  <c r="R120" i="5"/>
  <c r="S120" i="5"/>
  <c r="T120" i="5"/>
  <c r="U120" i="5"/>
  <c r="V120" i="5"/>
  <c r="W120" i="5"/>
  <c r="X120" i="5"/>
  <c r="Y120" i="5"/>
  <c r="AA120" i="5"/>
  <c r="AB120" i="5"/>
  <c r="AC120" i="5"/>
  <c r="AD120" i="5"/>
  <c r="AE120" i="5"/>
  <c r="D121" i="5"/>
  <c r="E121" i="5"/>
  <c r="F121" i="5"/>
  <c r="G121" i="5"/>
  <c r="H121" i="5"/>
  <c r="I121" i="5"/>
  <c r="J121" i="5"/>
  <c r="K121" i="5"/>
  <c r="L121" i="5"/>
  <c r="M121" i="5"/>
  <c r="N121" i="5"/>
  <c r="O121" i="5"/>
  <c r="P121" i="5"/>
  <c r="Q121" i="5"/>
  <c r="R121" i="5"/>
  <c r="S121" i="5"/>
  <c r="T121" i="5"/>
  <c r="U121" i="5"/>
  <c r="V121" i="5"/>
  <c r="W121" i="5"/>
  <c r="X121" i="5"/>
  <c r="Y121" i="5"/>
  <c r="D126" i="5"/>
  <c r="E126" i="5"/>
  <c r="F126" i="5"/>
  <c r="G126" i="5"/>
  <c r="H126" i="5"/>
  <c r="I126" i="5"/>
  <c r="J126" i="5"/>
  <c r="K126" i="5"/>
  <c r="L126" i="5"/>
  <c r="M126" i="5"/>
  <c r="N126" i="5"/>
  <c r="O126" i="5"/>
  <c r="P126" i="5"/>
  <c r="Q126" i="5"/>
  <c r="R126" i="5"/>
  <c r="S126" i="5"/>
  <c r="T126" i="5"/>
  <c r="U126" i="5"/>
  <c r="V126" i="5"/>
  <c r="W126" i="5"/>
  <c r="X126" i="5"/>
  <c r="Y126" i="5"/>
  <c r="AA126" i="5"/>
  <c r="AB126" i="5"/>
  <c r="AC126" i="5"/>
  <c r="AD126" i="5"/>
  <c r="AE126" i="5"/>
  <c r="D127" i="5"/>
  <c r="E127" i="5"/>
  <c r="F127" i="5"/>
  <c r="G127" i="5"/>
  <c r="H127" i="5"/>
  <c r="I127" i="5"/>
  <c r="J127" i="5"/>
  <c r="K127" i="5"/>
  <c r="L127" i="5"/>
  <c r="M127" i="5"/>
  <c r="N127" i="5"/>
  <c r="O127" i="5"/>
  <c r="P127" i="5"/>
  <c r="Q127" i="5"/>
  <c r="R127" i="5"/>
  <c r="S127" i="5"/>
  <c r="T127" i="5"/>
  <c r="U127" i="5"/>
  <c r="V127" i="5"/>
  <c r="W127" i="5"/>
  <c r="X127" i="5"/>
  <c r="Y127" i="5"/>
  <c r="AA127" i="5"/>
  <c r="AB127" i="5"/>
  <c r="AC127" i="5"/>
  <c r="AD127" i="5"/>
  <c r="AE127" i="5"/>
  <c r="D128" i="5"/>
  <c r="E128" i="5"/>
  <c r="F128" i="5"/>
  <c r="G128" i="5"/>
  <c r="H128" i="5"/>
  <c r="I128" i="5"/>
  <c r="J128" i="5"/>
  <c r="K128" i="5"/>
  <c r="L128" i="5"/>
  <c r="M128" i="5"/>
  <c r="N128" i="5"/>
  <c r="O128" i="5"/>
  <c r="P128" i="5"/>
  <c r="Q128" i="5"/>
  <c r="R128" i="5"/>
  <c r="S128" i="5"/>
  <c r="T128" i="5"/>
  <c r="U128" i="5"/>
  <c r="V128" i="5"/>
  <c r="W128" i="5"/>
  <c r="X128" i="5"/>
  <c r="Y128" i="5"/>
  <c r="AA128" i="5"/>
  <c r="AB128" i="5"/>
  <c r="AC128" i="5"/>
  <c r="AD128" i="5"/>
  <c r="AE128" i="5"/>
  <c r="D129" i="5"/>
  <c r="E129" i="5"/>
  <c r="F129" i="5"/>
  <c r="G129" i="5"/>
  <c r="H129" i="5"/>
  <c r="I129" i="5"/>
  <c r="J129" i="5"/>
  <c r="K129" i="5"/>
  <c r="L129" i="5"/>
  <c r="M129" i="5"/>
  <c r="N129" i="5"/>
  <c r="O129" i="5"/>
  <c r="P129" i="5"/>
  <c r="Q129" i="5"/>
  <c r="R129" i="5"/>
  <c r="S129" i="5"/>
  <c r="T129" i="5"/>
  <c r="U129" i="5"/>
  <c r="V129" i="5"/>
  <c r="W129" i="5"/>
  <c r="X129" i="5"/>
  <c r="Y129" i="5"/>
  <c r="AA129" i="5"/>
  <c r="AB129" i="5"/>
  <c r="AC129" i="5"/>
  <c r="AD129" i="5"/>
  <c r="AE129" i="5"/>
  <c r="D130" i="5"/>
  <c r="E130" i="5"/>
  <c r="F130" i="5"/>
  <c r="G130" i="5"/>
  <c r="H130" i="5"/>
  <c r="I130" i="5"/>
  <c r="J130" i="5"/>
  <c r="K130" i="5"/>
  <c r="L130" i="5"/>
  <c r="M130" i="5"/>
  <c r="N130" i="5"/>
  <c r="O130" i="5"/>
  <c r="P130" i="5"/>
  <c r="Q130" i="5"/>
  <c r="R130" i="5"/>
  <c r="S130" i="5"/>
  <c r="T130" i="5"/>
  <c r="U130" i="5"/>
  <c r="V130" i="5"/>
  <c r="W130" i="5"/>
  <c r="X130" i="5"/>
  <c r="Y130" i="5"/>
  <c r="AA130" i="5"/>
  <c r="AB130" i="5"/>
  <c r="AC130" i="5"/>
  <c r="AD130" i="5"/>
  <c r="AE130" i="5"/>
  <c r="D134" i="5"/>
  <c r="E134" i="5"/>
  <c r="F134" i="5"/>
  <c r="G134" i="5"/>
  <c r="H134" i="5"/>
  <c r="I134" i="5"/>
  <c r="J134" i="5"/>
  <c r="K134" i="5"/>
  <c r="L134" i="5"/>
  <c r="M134" i="5"/>
  <c r="N134" i="5"/>
  <c r="O134" i="5"/>
  <c r="P134" i="5"/>
  <c r="Q134" i="5"/>
  <c r="R134" i="5"/>
  <c r="S134" i="5"/>
  <c r="T134" i="5"/>
  <c r="U134" i="5"/>
  <c r="V134" i="5"/>
  <c r="W134" i="5"/>
  <c r="X134" i="5"/>
  <c r="Y134" i="5"/>
  <c r="AA134" i="5"/>
  <c r="AB134" i="5"/>
  <c r="AC134" i="5"/>
  <c r="AD134" i="5"/>
  <c r="AE134" i="5"/>
  <c r="E135" i="5"/>
  <c r="F135" i="5"/>
  <c r="G135" i="5"/>
  <c r="H135" i="5"/>
  <c r="I135" i="5"/>
  <c r="J135" i="5"/>
  <c r="K135" i="5"/>
  <c r="L135" i="5"/>
  <c r="M135" i="5"/>
  <c r="N135" i="5"/>
  <c r="O135" i="5"/>
  <c r="P135" i="5"/>
  <c r="Q135" i="5"/>
  <c r="R135" i="5"/>
  <c r="S135" i="5"/>
  <c r="T135" i="5"/>
  <c r="U135" i="5"/>
  <c r="V135" i="5"/>
  <c r="W135" i="5"/>
  <c r="X135" i="5"/>
  <c r="Y135" i="5"/>
  <c r="D137" i="5"/>
  <c r="E137" i="5"/>
  <c r="F137" i="5"/>
  <c r="G137" i="5"/>
  <c r="H137" i="5"/>
  <c r="I137" i="5"/>
  <c r="J137" i="5"/>
  <c r="K137" i="5"/>
  <c r="L137" i="5"/>
  <c r="M137" i="5"/>
  <c r="N137" i="5"/>
  <c r="O137" i="5"/>
  <c r="P137" i="5"/>
  <c r="Q137" i="5"/>
  <c r="R137" i="5"/>
  <c r="S137" i="5"/>
  <c r="T137" i="5"/>
  <c r="U137" i="5"/>
  <c r="V137" i="5"/>
  <c r="W137" i="5"/>
  <c r="X137" i="5"/>
  <c r="Y137" i="5"/>
  <c r="AA137" i="5"/>
  <c r="AB137" i="5"/>
  <c r="AC137" i="5"/>
  <c r="AD137" i="5"/>
  <c r="AE137" i="5"/>
  <c r="E139" i="5"/>
  <c r="F139" i="5"/>
  <c r="G139" i="5"/>
  <c r="H139" i="5"/>
  <c r="I139" i="5"/>
  <c r="J139" i="5"/>
  <c r="K139" i="5"/>
  <c r="L139" i="5"/>
  <c r="M139" i="5"/>
  <c r="N139" i="5"/>
  <c r="O139" i="5"/>
  <c r="P139" i="5"/>
  <c r="Q139" i="5"/>
  <c r="R139" i="5"/>
  <c r="S139" i="5"/>
  <c r="T139" i="5"/>
  <c r="U139" i="5"/>
  <c r="V139" i="5"/>
  <c r="W139" i="5"/>
  <c r="X139" i="5"/>
  <c r="Y139" i="5"/>
  <c r="AE139" i="5"/>
  <c r="D140" i="5"/>
  <c r="E140" i="5"/>
  <c r="F140" i="5"/>
  <c r="G140" i="5"/>
  <c r="H140" i="5"/>
  <c r="I140" i="5"/>
  <c r="J140" i="5"/>
  <c r="K140" i="5"/>
  <c r="L140" i="5"/>
  <c r="M140" i="5"/>
  <c r="N140" i="5"/>
  <c r="O140" i="5"/>
  <c r="P140" i="5"/>
  <c r="Q140" i="5"/>
  <c r="R140" i="5"/>
  <c r="S140" i="5"/>
  <c r="T140" i="5"/>
  <c r="U140" i="5"/>
  <c r="V140" i="5"/>
  <c r="W140" i="5"/>
  <c r="X140" i="5"/>
  <c r="Y140" i="5"/>
  <c r="AE140" i="5"/>
  <c r="D141" i="5"/>
  <c r="E141" i="5"/>
  <c r="F141" i="5"/>
  <c r="G141" i="5"/>
  <c r="H141" i="5"/>
  <c r="I141" i="5"/>
  <c r="J141" i="5"/>
  <c r="K141" i="5"/>
  <c r="L141" i="5"/>
  <c r="M141" i="5"/>
  <c r="N141" i="5"/>
  <c r="O141" i="5"/>
  <c r="P141" i="5"/>
  <c r="Q141" i="5"/>
  <c r="R141" i="5"/>
  <c r="S141" i="5"/>
  <c r="T141" i="5"/>
  <c r="U141" i="5"/>
  <c r="V141" i="5"/>
  <c r="W141" i="5"/>
  <c r="X141" i="5"/>
  <c r="Y141" i="5"/>
  <c r="AE141" i="5"/>
  <c r="D143" i="5"/>
  <c r="E143" i="5"/>
  <c r="F143" i="5"/>
  <c r="G143" i="5"/>
  <c r="H143" i="5"/>
  <c r="I143" i="5"/>
  <c r="J143" i="5"/>
  <c r="K143" i="5"/>
  <c r="L143" i="5"/>
  <c r="M143" i="5"/>
  <c r="N143" i="5"/>
  <c r="O143" i="5"/>
  <c r="P143" i="5"/>
  <c r="Q143" i="5"/>
  <c r="R143" i="5"/>
  <c r="S143" i="5"/>
  <c r="T143" i="5"/>
  <c r="U143" i="5"/>
  <c r="V143" i="5"/>
  <c r="W143" i="5"/>
  <c r="X143" i="5"/>
  <c r="Y143" i="5"/>
  <c r="AA143" i="5"/>
  <c r="AB143" i="5"/>
  <c r="AC143" i="5"/>
  <c r="AD143" i="5"/>
  <c r="AE143" i="5"/>
  <c r="E144" i="5"/>
  <c r="F144" i="5"/>
  <c r="G144" i="5"/>
  <c r="H144" i="5"/>
  <c r="I144" i="5"/>
  <c r="J144" i="5"/>
  <c r="K144" i="5"/>
  <c r="L144" i="5"/>
  <c r="M144" i="5"/>
  <c r="N144" i="5"/>
  <c r="O144" i="5"/>
  <c r="P144" i="5"/>
  <c r="Q144" i="5"/>
  <c r="R144" i="5"/>
  <c r="S144" i="5"/>
  <c r="T144" i="5"/>
  <c r="U144" i="5"/>
  <c r="V144" i="5"/>
  <c r="W144" i="5"/>
  <c r="X144" i="5"/>
  <c r="Y144" i="5"/>
  <c r="AK7" i="7"/>
  <c r="AL7" i="7"/>
  <c r="AM7" i="7"/>
  <c r="AN7" i="7"/>
  <c r="AK8" i="7"/>
  <c r="AL8" i="7"/>
  <c r="AM8" i="7"/>
  <c r="AN8" i="7"/>
  <c r="AK9" i="7"/>
  <c r="AL9" i="7"/>
  <c r="AM9" i="7"/>
  <c r="AN9" i="7"/>
  <c r="AK10" i="7"/>
  <c r="AL10" i="7"/>
  <c r="AM10" i="7"/>
  <c r="AN10" i="7"/>
  <c r="AK11" i="7"/>
  <c r="AL11" i="7"/>
  <c r="AM11" i="7"/>
  <c r="AN11" i="7"/>
  <c r="AK12" i="7"/>
  <c r="AL12" i="7"/>
  <c r="AM12" i="7"/>
  <c r="AN12" i="7"/>
  <c r="AK13" i="7"/>
  <c r="AL13" i="7"/>
  <c r="AM13" i="7"/>
  <c r="AN13" i="7"/>
  <c r="AK14" i="7"/>
  <c r="AL14" i="7"/>
  <c r="AM14" i="7"/>
  <c r="AN14" i="7"/>
  <c r="AK15" i="7"/>
  <c r="AL15" i="7"/>
  <c r="AM15" i="7"/>
  <c r="AN15" i="7"/>
  <c r="AK16" i="7"/>
  <c r="AL16" i="7"/>
  <c r="AM16" i="7"/>
  <c r="AN16" i="7"/>
  <c r="AK17" i="7"/>
  <c r="AL17" i="7"/>
  <c r="AM17" i="7"/>
  <c r="AN17" i="7"/>
  <c r="E18" i="7"/>
  <c r="F18" i="7"/>
  <c r="G18" i="7"/>
  <c r="H18" i="7"/>
  <c r="I18" i="7"/>
  <c r="J18" i="7"/>
  <c r="K18" i="7"/>
  <c r="L18" i="7"/>
  <c r="M18" i="7"/>
  <c r="N18" i="7"/>
  <c r="O18" i="7"/>
  <c r="P18" i="7"/>
  <c r="Q18" i="7"/>
  <c r="R18" i="7"/>
  <c r="S18" i="7"/>
  <c r="T18" i="7"/>
  <c r="U18" i="7"/>
  <c r="V18" i="7"/>
  <c r="W18" i="7"/>
  <c r="X18" i="7"/>
  <c r="Y18" i="7"/>
  <c r="AA18" i="7"/>
  <c r="AB18" i="7"/>
  <c r="AC18" i="7"/>
  <c r="AD18" i="7"/>
  <c r="AK18" i="7"/>
  <c r="AL18" i="7"/>
  <c r="AM18" i="7"/>
  <c r="AN18" i="7"/>
  <c r="E19" i="7"/>
  <c r="F19" i="7"/>
  <c r="G19" i="7"/>
  <c r="H19" i="7"/>
  <c r="I19" i="7"/>
  <c r="J19" i="7"/>
  <c r="K19" i="7"/>
  <c r="L19" i="7"/>
  <c r="M19" i="7"/>
  <c r="N19" i="7"/>
  <c r="O19" i="7"/>
  <c r="P19" i="7"/>
  <c r="Q19" i="7"/>
  <c r="R19" i="7"/>
  <c r="S19" i="7"/>
  <c r="T19" i="7"/>
  <c r="U19" i="7"/>
  <c r="V19" i="7"/>
  <c r="W19" i="7"/>
  <c r="X19" i="7"/>
  <c r="Y19" i="7"/>
  <c r="AA19" i="7"/>
  <c r="AB19" i="7"/>
  <c r="AC19" i="7"/>
  <c r="AD19" i="7"/>
  <c r="AE19" i="7"/>
  <c r="AK19" i="7"/>
  <c r="AL19" i="7"/>
  <c r="AM19" i="7"/>
  <c r="AN19" i="7"/>
  <c r="AK20" i="7"/>
  <c r="AL20" i="7"/>
  <c r="AM20" i="7"/>
  <c r="AN20" i="7"/>
  <c r="AK21" i="7"/>
  <c r="AL21" i="7"/>
  <c r="AM21" i="7"/>
  <c r="AN21" i="7"/>
  <c r="E22" i="7"/>
  <c r="F22" i="7"/>
  <c r="G22" i="7"/>
  <c r="H22" i="7"/>
  <c r="I22" i="7"/>
  <c r="J22" i="7"/>
  <c r="K22" i="7"/>
  <c r="L22" i="7"/>
  <c r="M22" i="7"/>
  <c r="N22" i="7"/>
  <c r="O22" i="7"/>
  <c r="P22" i="7"/>
  <c r="Q22" i="7"/>
  <c r="R22" i="7"/>
  <c r="S22" i="7"/>
  <c r="T22" i="7"/>
  <c r="U22" i="7"/>
  <c r="V22" i="7"/>
  <c r="W22" i="7"/>
  <c r="X22" i="7"/>
  <c r="Y22" i="7"/>
  <c r="AA22" i="7"/>
  <c r="AB22" i="7"/>
  <c r="AC22" i="7"/>
  <c r="AD22" i="7"/>
  <c r="AE22" i="7"/>
  <c r="AH22" i="7"/>
  <c r="AK22" i="7"/>
  <c r="AL22" i="7"/>
  <c r="AM22" i="7"/>
  <c r="AN22" i="7"/>
  <c r="AH23" i="7"/>
  <c r="AK23" i="7"/>
  <c r="AL23" i="7"/>
  <c r="AM23" i="7"/>
  <c r="AN23" i="7"/>
  <c r="AH24" i="7"/>
  <c r="AK24" i="7"/>
  <c r="AL24" i="7"/>
  <c r="AM24" i="7"/>
  <c r="AN24" i="7"/>
  <c r="AH25" i="7"/>
  <c r="AK25" i="7"/>
  <c r="AL25" i="7"/>
  <c r="AM25" i="7"/>
  <c r="AN25" i="7"/>
  <c r="AH26" i="7"/>
  <c r="AK26" i="7"/>
  <c r="AL26" i="7"/>
  <c r="AM26" i="7"/>
  <c r="AN26" i="7"/>
  <c r="AH27" i="7"/>
  <c r="AK27" i="7"/>
  <c r="AL27" i="7"/>
  <c r="AM27" i="7"/>
  <c r="AN27" i="7"/>
  <c r="E28" i="7"/>
  <c r="F28" i="7"/>
  <c r="G28" i="7"/>
  <c r="H28" i="7"/>
  <c r="I28" i="7"/>
  <c r="J28" i="7"/>
  <c r="K28" i="7"/>
  <c r="L28" i="7"/>
  <c r="M28" i="7"/>
  <c r="N28" i="7"/>
  <c r="O28" i="7"/>
  <c r="P28" i="7"/>
  <c r="Q28" i="7"/>
  <c r="R28" i="7"/>
  <c r="S28" i="7"/>
  <c r="T28" i="7"/>
  <c r="U28" i="7"/>
  <c r="V28" i="7"/>
  <c r="W28" i="7"/>
  <c r="X28" i="7"/>
  <c r="Y28" i="7"/>
  <c r="AA28" i="7"/>
  <c r="AB28" i="7"/>
  <c r="AC28" i="7"/>
  <c r="AD28" i="7"/>
  <c r="AE28" i="7"/>
  <c r="AH28" i="7"/>
  <c r="F30" i="7"/>
  <c r="G30" i="7"/>
  <c r="H30" i="7"/>
  <c r="I30" i="7"/>
  <c r="J30" i="7"/>
  <c r="K30" i="7"/>
  <c r="L30" i="7"/>
  <c r="M30" i="7"/>
  <c r="N30" i="7"/>
  <c r="O30" i="7"/>
  <c r="P30" i="7"/>
  <c r="Q30" i="7"/>
  <c r="R30" i="7"/>
  <c r="S30" i="7"/>
  <c r="T30" i="7"/>
  <c r="U30" i="7"/>
  <c r="V30" i="7"/>
  <c r="W30" i="7"/>
  <c r="X30" i="7"/>
  <c r="Y30" i="7"/>
  <c r="AB30" i="7"/>
  <c r="AC30" i="7"/>
  <c r="AD30" i="7"/>
  <c r="AE30" i="7"/>
  <c r="E31" i="7"/>
  <c r="F31" i="7"/>
  <c r="G31" i="7"/>
  <c r="H31" i="7"/>
  <c r="I31" i="7"/>
  <c r="J31" i="7"/>
  <c r="K31" i="7"/>
  <c r="L31" i="7"/>
  <c r="M31" i="7"/>
  <c r="N31" i="7"/>
  <c r="O31" i="7"/>
  <c r="P31" i="7"/>
  <c r="Q31" i="7"/>
  <c r="R31" i="7"/>
  <c r="S31" i="7"/>
  <c r="T31" i="7"/>
  <c r="U31" i="7"/>
  <c r="V31" i="7"/>
  <c r="W31" i="7"/>
  <c r="X31" i="7"/>
  <c r="Y31" i="7"/>
  <c r="F32" i="7"/>
  <c r="G32" i="7"/>
  <c r="H32" i="7"/>
  <c r="I32" i="7"/>
  <c r="J32" i="7"/>
  <c r="K32" i="7"/>
  <c r="L32" i="7"/>
  <c r="M32" i="7"/>
  <c r="N32" i="7"/>
  <c r="O32" i="7"/>
  <c r="P32" i="7"/>
  <c r="Q32" i="7"/>
  <c r="R32" i="7"/>
  <c r="S32" i="7"/>
  <c r="T32" i="7"/>
  <c r="U32" i="7"/>
  <c r="V32" i="7"/>
  <c r="W32" i="7"/>
  <c r="X32" i="7"/>
  <c r="Y32" i="7"/>
  <c r="E33" i="7"/>
  <c r="F33" i="7"/>
  <c r="G33" i="7"/>
  <c r="H33" i="7"/>
  <c r="I33" i="7"/>
  <c r="J33" i="7"/>
  <c r="K33" i="7"/>
  <c r="L33" i="7"/>
  <c r="M33" i="7"/>
  <c r="N33" i="7"/>
  <c r="O33" i="7"/>
  <c r="P33" i="7"/>
  <c r="Q33" i="7"/>
  <c r="R33" i="7"/>
  <c r="S33" i="7"/>
  <c r="T33" i="7"/>
  <c r="U33" i="7"/>
  <c r="V33" i="7"/>
  <c r="W33" i="7"/>
  <c r="X33" i="7"/>
  <c r="Y33" i="7"/>
  <c r="AA33" i="7"/>
  <c r="AB33" i="7"/>
  <c r="AC33" i="7"/>
  <c r="AD33" i="7"/>
  <c r="AE33" i="7"/>
  <c r="E34" i="7"/>
  <c r="F34" i="7"/>
  <c r="G34" i="7"/>
  <c r="H34" i="7"/>
  <c r="I34" i="7"/>
  <c r="J34" i="7"/>
  <c r="K34" i="7"/>
  <c r="L34" i="7"/>
  <c r="M34" i="7"/>
  <c r="N34" i="7"/>
  <c r="O34" i="7"/>
  <c r="P34" i="7"/>
  <c r="Q34" i="7"/>
  <c r="R34" i="7"/>
  <c r="S34" i="7"/>
  <c r="T34" i="7"/>
  <c r="U34" i="7"/>
  <c r="V34" i="7"/>
  <c r="W34" i="7"/>
  <c r="X34" i="7"/>
  <c r="Y34" i="7"/>
  <c r="E36" i="7"/>
  <c r="F36" i="7"/>
  <c r="G36" i="7"/>
  <c r="H36" i="7"/>
  <c r="I36" i="7"/>
  <c r="J36" i="7"/>
  <c r="K36" i="7"/>
  <c r="L36" i="7"/>
  <c r="M36" i="7"/>
  <c r="N36" i="7"/>
  <c r="O36" i="7"/>
  <c r="P36" i="7"/>
  <c r="Q36" i="7"/>
  <c r="R36" i="7"/>
  <c r="S36" i="7"/>
  <c r="T36" i="7"/>
  <c r="U36" i="7"/>
  <c r="V36" i="7"/>
  <c r="W36" i="7"/>
  <c r="X36" i="7"/>
  <c r="Y36" i="7"/>
  <c r="AA36" i="7"/>
  <c r="AB36" i="7"/>
  <c r="AC36" i="7"/>
  <c r="AD36" i="7"/>
  <c r="AE36" i="7"/>
  <c r="C69" i="7"/>
  <c r="D69" i="7"/>
  <c r="E6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tc={93520EBE-85CA-4090-9386-6EB277666FF0}</author>
  </authors>
  <commentList>
    <comment ref="H6" authorId="0" shapeId="0" xr:uid="{93520EBE-85CA-4090-9386-6EB277666FF0}">
      <text>
        <t>[Threaded comment]
Your version of Excel allows you to read this threaded comment; however, any edits to it will get removed if the file is opened in a newer version of Excel. Learn more: https://go.microsoft.com/fwlink/?linkid=870924
Comment:
    The BTC and Macro models drive each of the Micro Models.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tc={59D574FF-161C-4FED-9929-DD7401242658}</author>
    <author>tc={D1C99175-D4FA-4FB0-86BA-CE1FF3CD0180}</author>
    <author>tc={9E167CF5-5566-4822-960A-C2CE7AF8C688}</author>
  </authors>
  <commentList>
    <comment ref="V2" authorId="0" shapeId="0" xr:uid="{59D574FF-161C-4FED-9929-DD7401242658}">
      <text>
        <t>[Threaded comment]
Your version of Excel allows you to read this threaded comment; however, any edits to it will get removed if the file is opened in a newer version of Excel. Learn more: https://go.microsoft.com/fwlink/?linkid=870924
Comment:
    Save the file or run the calculations to update this chart.</t>
      </text>
    </comment>
    <comment ref="N3" authorId="1" shapeId="0" xr:uid="{D1C99175-D4FA-4FB0-86BA-CE1FF3CD0180}">
      <text>
        <t>[Threaded comment]
Your version of Excel allows you to read this threaded comment; however, any edits to it will get removed if the file is opened in a newer version of Excel. Learn more: https://go.microsoft.com/fwlink/?linkid=870924
Comment:
    Save the file or run the calculations to update this results table.</t>
      </text>
    </comment>
    <comment ref="F9" authorId="2" shapeId="0" xr:uid="{9E167CF5-5566-4822-960A-C2CE7AF8C688}">
      <text>
        <t>[Threaded comment]
Your version of Excel allows you to read this threaded comment; however, any edits to it will get removed if the file is opened in a newer version of Excel. Learn more: https://go.microsoft.com/fwlink/?linkid=870924
Comment:
    ARR assumed to be ~2x the expected growth rate of S&amp;P 500 index (~10%) at steady state.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tc={6C16B178-5312-467C-B4F2-F2265CC67F10}</author>
    <author>tc={0409C670-1557-49C1-A0E5-FE5FD9E637D1}</author>
    <author>tc={836C2404-4A72-4982-95A1-5AF986AF64BC}</author>
    <author>tc={A48429B9-9096-4102-B0C6-42C558E2851F}</author>
    <author>tc={86AA1348-C559-4FB1-ACD2-34AC336919D4}</author>
    <author>tc={051FC72D-E62A-423A-B264-1C75AA377D8B}</author>
    <author>tc={5337F74F-DA31-4F72-AB7C-F4282CA1CF2B}</author>
    <author>tc={F3AA574C-F02C-4399-83D7-FE94FA956319}</author>
  </authors>
  <commentList>
    <comment ref="N4" authorId="0" shapeId="0" xr:uid="{6C16B178-5312-467C-B4F2-F2265CC67F10}">
      <text>
        <t>[Threaded comment]
Your version of Excel allows you to read this threaded comment; however, any edits to it will get removed if the file is opened in a newer version of Excel. Learn more: https://go.microsoft.com/fwlink/?linkid=870924
Comment:
    Monetization refers to the incremental YoY growth of an asset’s market cap over and above the inflation growth and innovation growth. 
An asset’s market cap growth = inflation growth + innovation growth + this monetization factor</t>
      </text>
    </comment>
    <comment ref="AD4" authorId="1" shapeId="0" xr:uid="{0409C670-1557-49C1-A0E5-FE5FD9E637D1}">
      <text>
        <t>[Threaded comment]
Your version of Excel allows you to read this threaded comment; however, any edits to it will get removed if the file is opened in a newer version of Excel. Learn more: https://go.microsoft.com/fwlink/?linkid=870924
Comment:
    Asset dilution refers to the increase in existing stock through new supply. 
Implied ARR % = (1+market cap growth %)/(1+asset dilution %) - 1</t>
      </text>
    </comment>
    <comment ref="B8" authorId="2" shapeId="0" xr:uid="{836C2404-4A72-4982-95A1-5AF986AF64BC}">
      <text>
        <t>[Threaded comment]
Your version of Excel allows you to read this threaded comment; however, any edits to it will get removed if the file is opened in a newer version of Excel. Learn more: https://go.microsoft.com/fwlink/?linkid=870924
Comment:
    Innovation growth is driven by an AI productivity boost.</t>
      </text>
    </comment>
    <comment ref="AF10" authorId="3" shapeId="0" xr:uid="{A48429B9-9096-4102-B0C6-42C558E2851F}">
      <text>
        <t>[Threaded comment]
Your version of Excel allows you to read this threaded comment; however, any edits to it will get removed if the file is opened in a newer version of Excel. Learn more: https://go.microsoft.com/fwlink/?linkid=870924
Comment:
    Yield or interest rate are not inputs or drivers for other values in the Macro model. It doesn’t impact the growth in market cap of bonds or currencies. However, it is an important input in the Micro models to calculate the pre-tax interest income generated by holding these assets.</t>
      </text>
    </comment>
    <comment ref="C11" authorId="4" shapeId="0" xr:uid="{86AA1348-C559-4FB1-ACD2-34AC336919D4}">
      <text>
        <t>[Threaded comment]
Your version of Excel allows you to read this threaded comment; however, any edits to it will get removed if the file is opened in a newer version of Excel. Learn more: https://go.microsoft.com/fwlink/?linkid=870924
Comment:
    Gold, art, equity, and real estate are impacted by entropy.</t>
      </text>
    </comment>
    <comment ref="C12" authorId="5" shapeId="0" xr:uid="{051FC72D-E62A-423A-B264-1C75AA377D8B}">
      <text>
        <t>[Threaded comment]
Your version of Excel allows you to read this threaded comment; however, any edits to it will get removed if the file is opened in a newer version of Excel. Learn more: https://go.microsoft.com/fwlink/?linkid=870924
Comment:
    Bonds and currencies are impacted by inflation.</t>
      </text>
    </comment>
    <comment ref="C13" authorId="6" shapeId="0" xr:uid="{5337F74F-DA31-4F72-AB7C-F4282CA1CF2B}">
      <text>
        <t>[Threaded comment]
Your version of Excel allows you to read this threaded comment; however, any edits to it will get removed if the file is opened in a newer version of Excel. Learn more: https://go.microsoft.com/fwlink/?linkid=870924
Comment:
    Custody cost for Bitcoin.</t>
      </text>
    </comment>
    <comment ref="B36" authorId="7" shapeId="0" xr:uid="{F3AA574C-F02C-4399-83D7-FE94FA956319}">
      <text>
        <t>[Threaded comment]
Your version of Excel allows you to read this threaded comment; however, any edits to it will get removed if the file is opened in a newer version of Excel. Learn more: https://go.microsoft.com/fwlink/?linkid=870924
Comment:
    The Annual Inefficiency is not an input or driver for other values in any of the Macro or Micro models.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tc={8ED7FC7B-FB85-442C-9ACD-338E7F8E23D2}</author>
    <author>tc={DA6E171A-18CA-4EAA-AADC-E22D7E4E4CCF}</author>
    <author>tc={F1751D32-F057-4B85-95A0-C208905B9358}</author>
    <author>tc={12223677-6C8D-483D-861E-67BE6907792B}</author>
    <author>tc={681F1417-8ADE-4F7C-B5A8-2DDF7A8A1D0B}</author>
    <author>tc={55F6699F-9456-4E80-A4B6-ACBDF2377719}</author>
    <author>tc={27256B8B-4523-4CBC-8D10-0CDDC2920D63}</author>
    <author>tc={7F8B02B8-3515-4106-AB25-5C969D2260C9}</author>
  </authors>
  <commentList>
    <comment ref="J1" authorId="0" shapeId="0" xr:uid="{8ED7FC7B-FB85-442C-9ACD-338E7F8E23D2}">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Z4" authorId="1" shapeId="0" xr:uid="{DA6E171A-18CA-4EAA-AADC-E22D7E4E4CCF}">
      <text>
        <t>[Threaded comment]
Your version of Excel allows you to read this threaded comment; however, any edits to it will get removed if the file is opened in a newer version of Excel. Learn more: https://go.microsoft.com/fwlink/?linkid=870924
Comment:
    Outstanding mortgage is assumed to be 50% of real estate value.</t>
      </text>
    </comment>
    <comment ref="Z5" authorId="2" shapeId="0" xr:uid="{F1751D32-F057-4B85-95A0-C208905B9358}">
      <text>
        <t>[Threaded comment]
Your version of Excel allows you to read this threaded comment; however, any edits to it will get removed if the file is opened in a newer version of Excel. Learn more: https://go.microsoft.com/fwlink/?linkid=870924
Comment:
    Interest expense is assumed to accrue each year.</t>
      </text>
    </comment>
    <comment ref="C9" authorId="3" shapeId="0" xr:uid="{12223677-6C8D-483D-861E-67BE6907792B}">
      <text>
        <t xml:space="preserve">[Threaded comment]
Your version of Excel allows you to read this threaded comment; however, any edits to it will get removed if the file is opened in a newer version of Excel. Learn more: https://go.microsoft.com/fwlink/?linkid=870924
Comment:
    Income tax % is applicable to income from bonds and currency. Note that the savings rate is a separate assumption that is listed below. </t>
      </text>
    </comment>
    <comment ref="D12" authorId="4" shapeId="0" xr:uid="{681F1417-8ADE-4F7C-B5A8-2DDF7A8A1D0B}">
      <text>
        <t>[Threaded comment]
Your version of Excel allows you to read this threaded comment; however, any edits to it will get removed if the file is opened in a newer version of Excel. Learn more: https://go.microsoft.com/fwlink/?linkid=870924
Comment:
    % of portfolio (excluding real estate and starting BTC) that is converted to BTC.</t>
      </text>
    </comment>
    <comment ref="D13" authorId="5" shapeId="0" xr:uid="{55F6699F-9456-4E80-A4B6-ACBDF2377719}">
      <text>
        <t>[Threaded comment]
Your version of Excel allows you to read this threaded comment; however, any edits to it will get removed if the file is opened in a newer version of Excel. Learn more: https://go.microsoft.com/fwlink/?linkid=870924
Comment:
    Remaining earnings are swept to traditional assets (excluding real estate) in the same proportion as the starting portfolio allocation.</t>
      </text>
    </comment>
    <comment ref="D15" authorId="6" shapeId="0" xr:uid="{27256B8B-4523-4CBC-8D10-0CDDC2920D63}">
      <text>
        <t>[Threaded comment]
Your version of Excel allows you to read this threaded comment; however, any edits to it will get removed if the file is opened in a newer version of Excel. Learn more: https://go.microsoft.com/fwlink/?linkid=870924
Comment:
    % of annual earnings that is saved each year post taxes, expenses, etc. and is hence “excess earnings”.</t>
      </text>
    </comment>
    <comment ref="Y15" authorId="7" shapeId="0" xr:uid="{7F8B02B8-3515-4106-AB25-5C969D2260C9}">
      <text>
        <t>[Threaded comment]
Your version of Excel allows you to read this threaded comment; however, any edits to it will get removed if the file is opened in a newer version of Excel. Learn more: https://go.microsoft.com/fwlink/?linkid=870924
Comment:
    By moving to a lower tax jurisdiction.</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tc={862F08E7-8A05-4559-9B52-3214443F3616}</author>
    <author>tc={6B3F4390-6247-4F17-B931-426D51198B93}</author>
    <author>tc={74C6ADB4-45CC-4224-9507-85272BA40287}</author>
    <author>tc={944FBB77-C12C-4DB9-AD52-AD58CA95D7BC}</author>
    <author>tc={B046837B-5496-45F9-9DA9-5D74DA78CD91}</author>
    <author>tc={2B016F66-956B-4523-B436-6164887E469A}</author>
    <author>tc={08065786-9C82-4048-B444-37FB32803699}</author>
    <author>tc={325D0165-B422-42C2-8A0E-F6640C0081F0}</author>
    <author>tc={7B8A2A46-3E8D-4AC2-AE01-77C951A371BA}</author>
    <author>tc={B00848D6-0B11-4D90-BA43-06593B889F75}</author>
    <author>tc={CFF65DC6-B944-4715-AA40-D7253D20F8BD}</author>
    <author>tc={272F0224-EC1E-4BD6-9167-AA4DD429A252}</author>
    <author>tc={38B5FF02-BECB-4822-95B1-FFBDDDEAE4AF}</author>
    <author>tc={B8B251E6-F764-4603-B27C-00F45D5083AC}</author>
    <author>tc={EEA48D24-C308-46DB-A15B-EAAE31E297DC}</author>
    <author>tc={893290DF-0D9E-4C79-8F58-A8A8EB1618D7}</author>
    <author>tc={B1C39561-48E4-43D7-8952-CEC32CD72B4D}</author>
  </authors>
  <commentList>
    <comment ref="E1" authorId="0" shapeId="0" xr:uid="{862F08E7-8A05-4559-9B52-3214443F3616}">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C4" authorId="1" shapeId="0" xr:uid="{6B3F4390-6247-4F17-B931-426D51198B93}">
      <text>
        <t>[Threaded comment]
Your version of Excel allows you to read this threaded comment; however, any edits to it will get removed if the file is opened in a newer version of Excel. Learn more: https://go.microsoft.com/fwlink/?linkid=870924
Comment:
    Cash flow to firm before interest expense/income, debt issuance/repayment, equity issuance, dividends.</t>
      </text>
    </comment>
    <comment ref="J5" authorId="2" shapeId="0" xr:uid="{74C6ADB4-45CC-4224-9507-85272BA40287}">
      <text>
        <t>[Threaded comment]
Your version of Excel allows you to read this threaded comment; however, any edits to it will get removed if the file is opened in a newer version of Excel. Learn more: https://go.microsoft.com/fwlink/?linkid=870924
Comment:
    Opening debt for 2024</t>
      </text>
    </comment>
    <comment ref="Y5" authorId="3" shapeId="0" xr:uid="{944FBB77-C12C-4DB9-AD52-AD58CA95D7BC}">
      <text>
        <t>[Threaded comment]
Your version of Excel allows you to read this threaded comment; however, any edits to it will get removed if the file is opened in a newer version of Excel. Learn more: https://go.microsoft.com/fwlink/?linkid=870924
Comment:
    Pre-tax yield is an input from the Macro model</t>
      </text>
    </comment>
    <comment ref="C7" authorId="4" shapeId="0" xr:uid="{B046837B-5496-45F9-9DA9-5D74DA78CD91}">
      <text>
        <t>[Threaded comment]
Your version of Excel allows you to read this threaded comment; however, any edits to it will get removed if the file is opened in a newer version of Excel. Learn more: https://go.microsoft.com/fwlink/?linkid=870924
Comment:
    Assumed to be constant throughout the period.</t>
      </text>
    </comment>
    <comment ref="J7" authorId="5" shapeId="0" xr:uid="{2B016F66-956B-4523-B436-6164887E469A}">
      <text>
        <t>[Threaded comment]
Your version of Excel allows you to read this threaded comment; however, any edits to it will get removed if the file is opened in a newer version of Excel. Learn more: https://go.microsoft.com/fwlink/?linkid=870924
Comment:
    Opening cash for 2024.</t>
      </text>
    </comment>
    <comment ref="C8" authorId="6" shapeId="0" xr:uid="{08065786-9C82-4048-B444-37FB32803699}">
      <text>
        <t>[Threaded comment]
Your version of Excel allows you to read this threaded comment; however, any edits to it will get removed if the file is opened in a newer version of Excel. Learn more: https://go.microsoft.com/fwlink/?linkid=870924
Comment:
    Opening share price for 2024.</t>
      </text>
    </comment>
    <comment ref="C11" authorId="7" shapeId="0" xr:uid="{325D0165-B422-42C2-8A0E-F6640C0081F0}">
      <text>
        <t>[Threaded comment]
Your version of Excel allows you to read this threaded comment; however, any edits to it will get removed if the file is opened in a newer version of Excel. Learn more: https://go.microsoft.com/fwlink/?linkid=870924
Comment:
    % of opening cash converted to BTC in 2024. This excludes the starting BTC assumption.</t>
      </text>
    </comment>
    <comment ref="C12" authorId="8" shapeId="0" xr:uid="{7B8A2A46-3E8D-4AC2-AE01-77C951A371BA}">
      <text>
        <t>[Threaded comment]
Your version of Excel allows you to read this threaded comment; however, any edits to it will get removed if the file is opened in a newer version of Excel. Learn more: https://go.microsoft.com/fwlink/?linkid=870924
Comment:
    % of cash flow invested in BTC each year. Remaining % is given out as dividends each year.</t>
      </text>
    </comment>
    <comment ref="C13" authorId="9" shapeId="0" xr:uid="{B00848D6-0B11-4D90-BA43-06593B889F75}">
      <text>
        <t>[Threaded comment]
Your version of Excel allows you to read this threaded comment; however, any edits to it will get removed if the file is opened in a newer version of Excel. Learn more: https://go.microsoft.com/fwlink/?linkid=870924
Comment:
    Equity dilution each year as a % of that year’s opening sharecount.</t>
      </text>
    </comment>
    <comment ref="C14" authorId="10" shapeId="0" xr:uid="{CFF65DC6-B944-4715-AA40-D7253D20F8BD}">
      <text>
        <t>[Threaded comment]
Your version of Excel allows you to read this threaded comment; however, any edits to it will get removed if the file is opened in a newer version of Excel. Learn more: https://go.microsoft.com/fwlink/?linkid=870924
Comment:
    Premium ascribed to the BTC NAV (i.e. BTC + Cash - Debt) for calculating the market cap.
BTC NAV Premium = (Market Cap - Market Value of Operations) / (Market Value of BTC + Cash - Debt) - 1</t>
      </text>
    </comment>
    <comment ref="C15" authorId="11" shapeId="0" xr:uid="{272F0224-EC1E-4BD6-9167-AA4DD429A252}">
      <text>
        <t>[Threaded comment]
Your version of Excel allows you to read this threaded comment; however, any edits to it will get removed if the file is opened in a newer version of Excel. Learn more: https://go.microsoft.com/fwlink/?linkid=870924
Comment:
    The LTV cap is applied on net debt as % of BTC.</t>
      </text>
    </comment>
    <comment ref="C23" authorId="12" shapeId="0" xr:uid="{38B5FF02-BECB-4822-95B1-FFBDDDEAE4AF}">
      <text>
        <t>[Threaded comment]
Your version of Excel allows you to read this threaded comment; however, any edits to it will get removed if the file is opened in a newer version of Excel. Learn more: https://go.microsoft.com/fwlink/?linkid=870924
Comment:
    Closing value, i.e. as of the end of period.</t>
      </text>
    </comment>
    <comment ref="C34" authorId="13" shapeId="0" xr:uid="{B8B251E6-F764-4603-B27C-00F45D5083AC}">
      <text>
        <t>[Threaded comment]
Your version of Excel allows you to read this threaded comment; however, any edits to it will get removed if the file is opened in a newer version of Excel. Learn more: https://go.microsoft.com/fwlink/?linkid=870924
Comment:
    Issuance assumed to be at the closing share price for the respective year.</t>
      </text>
    </comment>
    <comment ref="C40" authorId="14" shapeId="0" xr:uid="{EEA48D24-C308-46DB-A15B-EAAE31E297DC}">
      <text>
        <t>[Threaded comment]
Your version of Excel allows you to read this threaded comment; however, any edits to it will get removed if the file is opened in a newer version of Excel. Learn more: https://go.microsoft.com/fwlink/?linkid=870924
Comment:
    Calculated as (Valuation multiple) x (Cash Flows).</t>
      </text>
    </comment>
    <comment ref="C45" authorId="15" shapeId="0" xr:uid="{893290DF-0D9E-4C79-8F58-A8A8EB1618D7}">
      <text>
        <t>[Threaded comment]
Your version of Excel allows you to read this threaded comment; however, any edits to it will get removed if the file is opened in a newer version of Excel. Learn more: https://go.microsoft.com/fwlink/?linkid=870924
Comment:
    Increases due to equity dilution.</t>
      </text>
    </comment>
    <comment ref="C48" authorId="16" shapeId="0" xr:uid="{B1C39561-48E4-43D7-8952-CEC32CD72B4D}">
      <text>
        <t>[Threaded comment]
Your version of Excel allows you to read this threaded comment; however, any edits to it will get removed if the file is opened in a newer version of Excel. Learn more: https://go.microsoft.com/fwlink/?linkid=870924
Comment:
    Adjusted for dividends by assuming dividends are reinvested each year at the prevalent share price.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tc={7AEB7721-163E-43E3-8A3B-6D7019C70EED}</author>
    <author>tc={251F229D-A570-4691-8653-EE0BE529874F}</author>
    <author>tc={100881A8-3866-4D08-ACCF-1FAFA94969ED}</author>
    <author>tc={FA129682-1702-4F0B-B343-4F662C9A97AC}</author>
  </authors>
  <commentList>
    <comment ref="J1" authorId="0" shapeId="0" xr:uid="{7AEB7721-163E-43E3-8A3B-6D7019C70EED}">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D6" authorId="1" shapeId="0" xr:uid="{251F229D-A570-4691-8653-EE0BE529874F}">
      <text>
        <t>[Threaded comment]
Your version of Excel allows you to read this threaded comment; however, any edits to it will get removed if the file is opened in a newer version of Excel. Learn more: https://go.microsoft.com/fwlink/?linkid=870924
Comment:
    Input positive value here.</t>
      </text>
    </comment>
    <comment ref="D7" authorId="2" shapeId="0" xr:uid="{100881A8-3866-4D08-ACCF-1FAFA94969ED}">
      <text>
        <t>[Threaded comment]
Your version of Excel allows you to read this threaded comment; however, any edits to it will get removed if the file is opened in a newer version of Excel. Learn more: https://go.microsoft.com/fwlink/?linkid=870924
Comment:
    Interest expense is assumed to accrue each year.</t>
      </text>
    </comment>
    <comment ref="C12" authorId="3" shapeId="0" xr:uid="{FA129682-1702-4F0B-B343-4F662C9A97AC}">
      <text>
        <t>[Threaded comment]
Your version of Excel allows you to read this threaded comment; however, any edits to it will get removed if the file is opened in a newer version of Excel. Learn more: https://go.microsoft.com/fwlink/?linkid=870924
Comment:
    % of portfolio (excluding starting BTC) that is converted to BTC.</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tc={BA84EA3D-B266-45C1-85E0-4478F1408DA0}</author>
    <author>tc={4D55A4D8-1390-4656-9D51-8B41245B39F3}</author>
    <author>tc={13A33B62-FEF2-4035-AB74-CF54FB757554}</author>
    <author>tc={0F2F280A-84FB-4B1B-BFA0-BA40B4CC7A75}</author>
    <author>tc={06C18D51-2B64-4655-B978-17B60E494B50}</author>
    <author>tc={00BE28E5-F386-4FC1-96AE-31F60857CBD5}</author>
    <author>tc={518946EF-44DA-44E5-8BEB-9DB7D733318A}</author>
    <author>tc={4E90F9D8-299A-4608-96AC-B146237A78B6}</author>
    <author>tc={4F1CC1A9-FCD7-404F-9995-AA62C32CE0F5}</author>
    <author>tc={2B898363-2A32-41EC-860D-5C21FCFA534F}</author>
  </authors>
  <commentList>
    <comment ref="E1" authorId="0" shapeId="0" xr:uid="{BA84EA3D-B266-45C1-85E0-4478F1408DA0}">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C6" authorId="1" shapeId="0" xr:uid="{4D55A4D8-1390-4656-9D51-8B41245B39F3}">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D6" authorId="2" shapeId="0" xr:uid="{13A33B62-FEF2-4035-AB74-CF54FB757554}">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Y6" authorId="3" shapeId="0" xr:uid="{0F2F280A-84FB-4B1B-BFA0-BA40B4CC7A75}">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C7" authorId="4" shapeId="0" xr:uid="{06C18D51-2B64-4655-B978-17B60E494B50}">
      <text>
        <t>[Threaded comment]
Your version of Excel allows you to read this threaded comment; however, any edits to it will get removed if the file is opened in a newer version of Excel. Learn more: https://go.microsoft.com/fwlink/?linkid=870924
Comment:
    Opening debt at the start of 2024.</t>
      </text>
    </comment>
    <comment ref="D7" authorId="5" shapeId="0" xr:uid="{00BE28E5-F386-4FC1-96AE-31F60857CBD5}">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C9" authorId="6" shapeId="0" xr:uid="{518946EF-44DA-44E5-8BEB-9DB7D733318A}">
      <text>
        <t>[Threaded comment]
Your version of Excel allows you to read this threaded comment; however, any edits to it will get removed if the file is opened in a newer version of Excel. Learn more: https://go.microsoft.com/fwlink/?linkid=870924
Comment:
    Opening assets at the start of 2024.</t>
      </text>
    </comment>
    <comment ref="C11" authorId="7" shapeId="0" xr:uid="{4E90F9D8-299A-4608-96AC-B146237A78B6}">
      <text>
        <t>[Threaded comment]
Your version of Excel allows you to read this threaded comment; however, any edits to it will get removed if the file is opened in a newer version of Excel. Learn more: https://go.microsoft.com/fwlink/?linkid=870924
Comment:
    % of Treasury (excluding starting BTC) that is converted to BTC.</t>
      </text>
    </comment>
    <comment ref="C12" authorId="8" shapeId="0" xr:uid="{4F1CC1A9-FCD7-404F-9995-AA62C32CE0F5}">
      <text>
        <t xml:space="preserve">[Threaded comment]
Your version of Excel allows you to read this threaded comment; however, any edits to it will get removed if the file is opened in a newer version of Excel. Learn more: https://go.microsoft.com/fwlink/?linkid=870924
Comment:
    Conversion program starts in 2025. </t>
      </text>
    </comment>
    <comment ref="B25" authorId="9" shapeId="0" xr:uid="{2B898363-2A32-41EC-860D-5C21FCFA534F}">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tc={F5474AE1-A998-41A0-A0BA-2DE3E4E22716}</author>
    <author>tc={886569AC-676D-419B-8D2E-780B46AFC573}</author>
    <author>tc={6A312D38-834A-467A-922B-0AC07BEDC291}</author>
    <author>tc={D9564E0C-305E-4BB4-B5A0-F03FFA94EA38}</author>
    <author>tc={EBD5018F-A3C6-435B-9283-C57CAB617B1E}</author>
    <author>tc={4FCBE467-CDDB-40E1-9112-58A199D6069F}</author>
    <author>tc={48C454EF-9F61-4CA1-98D8-42663B42127C}</author>
    <author>tc={36469914-CD59-4903-8DB0-56CF29862718}</author>
    <author>tc={2FBA5B49-5BEB-41ED-A9BC-9F7D02920EFC}</author>
    <author>tc={856B648C-AF36-4EFB-B653-A632E69CCE03}</author>
  </authors>
  <commentList>
    <comment ref="E1" authorId="0" shapeId="0" xr:uid="{F5474AE1-A998-41A0-A0BA-2DE3E4E22716}">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C6" authorId="1" shapeId="0" xr:uid="{886569AC-676D-419B-8D2E-780B46AFC573}">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D6" authorId="2" shapeId="0" xr:uid="{6A312D38-834A-467A-922B-0AC07BEDC291}">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Y6" authorId="3" shapeId="0" xr:uid="{D9564E0C-305E-4BB4-B5A0-F03FFA94EA38}">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C7" authorId="4" shapeId="0" xr:uid="{EBD5018F-A3C6-435B-9283-C57CAB617B1E}">
      <text>
        <t>[Threaded comment]
Your version of Excel allows you to read this threaded comment; however, any edits to it will get removed if the file is opened in a newer version of Excel. Learn more: https://go.microsoft.com/fwlink/?linkid=870924
Comment:
    Opening debt at the start of 2024.</t>
      </text>
    </comment>
    <comment ref="D7" authorId="5" shapeId="0" xr:uid="{4FCBE467-CDDB-40E1-9112-58A199D6069F}">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C9" authorId="6" shapeId="0" xr:uid="{48C454EF-9F61-4CA1-98D8-42663B42127C}">
      <text>
        <t>[Threaded comment]
Your version of Excel allows you to read this threaded comment; however, any edits to it will get removed if the file is opened in a newer version of Excel. Learn more: https://go.microsoft.com/fwlink/?linkid=870924
Comment:
    Opening assets at the start of 2024.</t>
      </text>
    </comment>
    <comment ref="C11" authorId="7" shapeId="0" xr:uid="{36469914-CD59-4903-8DB0-56CF29862718}">
      <text>
        <t>[Threaded comment]
Your version of Excel allows you to read this threaded comment; however, any edits to it will get removed if the file is opened in a newer version of Excel. Learn more: https://go.microsoft.com/fwlink/?linkid=870924
Comment:
    % of Treasury (excluding starting BTC) that is converted to BTC.</t>
      </text>
    </comment>
    <comment ref="C12" authorId="8" shapeId="0" xr:uid="{2FBA5B49-5BEB-41ED-A9BC-9F7D02920EFC}">
      <text>
        <t>[Threaded comment]
Your version of Excel allows you to read this threaded comment; however, any edits to it will get removed if the file is opened in a newer version of Excel. Learn more: https://go.microsoft.com/fwlink/?linkid=870924
Comment:
    Conversion program starts in 2025.</t>
      </text>
    </comment>
    <comment ref="B25" authorId="9" shapeId="0" xr:uid="{856B648C-AF36-4EFB-B653-A632E69CCE03}">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tc={5562AC8A-369B-4750-84BC-BEE4F0B0D841}</author>
    <author>tc={00DA8426-EFB6-4E58-AE5B-166BF25BA891}</author>
    <author>tc={873FE350-73B9-4548-824F-8745DAD81071}</author>
    <author>tc={299D024D-7893-4653-B25E-85C0984B3F82}</author>
    <author>tc={87186F0A-EA22-4024-AFDF-890B0C488981}</author>
    <author>tc={F2A55541-2728-48B4-9805-F88DD7EFEDC9}</author>
    <author>tc={EE0EDE97-E9E9-4961-80D0-9C7DF9187C37}</author>
    <author>tc={1FE2F8F9-0B01-453D-AB35-7DE31D1E7A38}</author>
    <author>tc={B822EBB1-3BA1-42B5-9332-659A27BAC48A}</author>
    <author>tc={D8E04E22-142D-47E6-A2AD-BBA83C479D06}</author>
    <author>tc={4026580F-680C-4FE1-872A-0DEF3CFF7DF4}</author>
  </authors>
  <commentList>
    <comment ref="E1" authorId="0" shapeId="0" xr:uid="{5562AC8A-369B-4750-84BC-BEE4F0B0D841}">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C5" authorId="1" shapeId="0" xr:uid="{00DA8426-EFB6-4E58-AE5B-166BF25BA891}">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D5" authorId="2" shapeId="0" xr:uid="{873FE350-73B9-4548-824F-8745DAD81071}">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Y5" authorId="3" shapeId="0" xr:uid="{299D024D-7893-4653-B25E-85C0984B3F82}">
      <text>
        <t>[Threaded comment]
Your version of Excel allows you to read this threaded comment; however, any edits to it will get removed if the file is opened in a newer version of Excel. Learn more: https://go.microsoft.com/fwlink/?linkid=870924
Comment:
    Increase in revenue is driven by an AI productivity boost.</t>
      </text>
    </comment>
    <comment ref="C6" authorId="4" shapeId="0" xr:uid="{87186F0A-EA22-4024-AFDF-890B0C488981}">
      <text>
        <t>[Threaded comment]
Your version of Excel allows you to read this threaded comment; however, any edits to it will get removed if the file is opened in a newer version of Excel. Learn more: https://go.microsoft.com/fwlink/?linkid=870924
Comment:
    Opening debt at the start of 2024.</t>
      </text>
    </comment>
    <comment ref="D6" authorId="5" shapeId="0" xr:uid="{F2A55541-2728-48B4-9805-F88DD7EFEDC9}">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Y6" authorId="6" shapeId="0" xr:uid="{EE0EDE97-E9E9-4961-80D0-9C7DF9187C37}">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C7" authorId="7" shapeId="0" xr:uid="{1FE2F8F9-0B01-453D-AB35-7DE31D1E7A38}">
      <text>
        <t>[Threaded comment]
Your version of Excel allows you to read this threaded comment; however, any edits to it will get removed if the file is opened in a newer version of Excel. Learn more: https://go.microsoft.com/fwlink/?linkid=870924
Comment:
    Blended cost of debt.</t>
      </text>
    </comment>
    <comment ref="C10" authorId="8" shapeId="0" xr:uid="{B822EBB1-3BA1-42B5-9332-659A27BAC48A}">
      <text>
        <t>[Threaded comment]
Your version of Excel allows you to read this threaded comment; however, any edits to it will get removed if the file is opened in a newer version of Excel. Learn more: https://go.microsoft.com/fwlink/?linkid=870924
Comment:
    Years starting 2025.</t>
      </text>
    </comment>
    <comment ref="B29" authorId="9" shapeId="0" xr:uid="{D8E04E22-142D-47E6-A2AD-BBA83C479D06}">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D30" authorId="10" shapeId="0" xr:uid="{4026580F-680C-4FE1-872A-0DEF3CFF7DF4}">
      <text>
        <t>[Threaded comment]
Your version of Excel allows you to read this threaded comment; however, any edits to it will get removed if the file is opened in a newer version of Excel. Learn more: https://go.microsoft.com/fwlink/?linkid=870924
Comment:
    Hardcoded value for 2024.</t>
      </text>
    </comment>
  </commentList>
</comments>
</file>

<file path=xl/sharedStrings.xml><?xml version="1.0" encoding="utf-8"?>
<sst xmlns="http://schemas.openxmlformats.org/spreadsheetml/2006/main" count="649" uniqueCount="280">
  <si>
    <t>BITCOIN24</t>
  </si>
  <si>
    <t>Helping you drive Bitcoin adoption.</t>
  </si>
  <si>
    <t>21-year macro forecast with micro models for bitcoin strategies</t>
  </si>
  <si>
    <t>Normie</t>
  </si>
  <si>
    <t>BTC 10%</t>
  </si>
  <si>
    <t>BTC Maxi</t>
  </si>
  <si>
    <t>Double Maxi</t>
  </si>
  <si>
    <t>Triple Maxi</t>
  </si>
  <si>
    <t>Contents</t>
  </si>
  <si>
    <t>BTC Model</t>
  </si>
  <si>
    <t>Micro Models</t>
  </si>
  <si>
    <t>Macro Model</t>
  </si>
  <si>
    <t>Individual</t>
  </si>
  <si>
    <t>Corporate</t>
  </si>
  <si>
    <t>Institution</t>
  </si>
  <si>
    <t>Indebted Nation</t>
  </si>
  <si>
    <t>Wealthy Nation</t>
  </si>
  <si>
    <t>United States</t>
  </si>
  <si>
    <t>"It might make sense just to get some in case it catches on. If enough people think the same way, that becomes a self-fulfilling prophecy." - Satoshi Nakamoto on 01/17/09 (BTC Price: $0)</t>
  </si>
  <si>
    <r>
      <rPr>
        <u/>
        <sz val="11"/>
        <color rgb="FF000000"/>
        <rFont val="Aptos Narrow"/>
        <family val="2"/>
      </rPr>
      <t>Additional Information</t>
    </r>
    <r>
      <rPr>
        <sz val="11"/>
        <color rgb="FF000000"/>
        <rFont val="Aptos Narrow"/>
        <family val="2"/>
      </rPr>
      <t xml:space="preserve">:  The information provided here is for general informational purposes only and should not be considered financial advice. It contains forward-looking information that is inherently unknowable and does not constitute a representation or projection of future results of any company or business entity. You should seek advice from a professional financial advisor and other trusted sources before acting on any of this information. The authors and publishers of this information disclaim responsibility for any action taken by users of this information.  This is but one view of potential outcomes. You should inform yourself of other views, including those that might disagree.  </t>
    </r>
  </si>
  <si>
    <t>Bitcoin24</t>
  </si>
  <si>
    <t>Assumptions</t>
  </si>
  <si>
    <t>Results in Year 2045</t>
  </si>
  <si>
    <t>2024 BTC Price ($K)</t>
  </si>
  <si>
    <t>Bear</t>
  </si>
  <si>
    <t>Base</t>
  </si>
  <si>
    <t>Bull</t>
  </si>
  <si>
    <t>Choose Scenario -&gt;</t>
  </si>
  <si>
    <t>BTC Price ($M)</t>
  </si>
  <si>
    <t>2025 ARR</t>
  </si>
  <si>
    <t>BTC Mkt Cap ($T)</t>
  </si>
  <si>
    <t>ARR reduction each year</t>
  </si>
  <si>
    <t>21-Year ARR</t>
  </si>
  <si>
    <t>% of Total Assets</t>
  </si>
  <si>
    <t>Output Table</t>
  </si>
  <si>
    <t>Year</t>
  </si>
  <si>
    <t>ARR</t>
  </si>
  <si>
    <t>Assets by Market Cap</t>
  </si>
  <si>
    <t>BTC Case Selected -&gt;</t>
  </si>
  <si>
    <t>Monetization</t>
  </si>
  <si>
    <t>Asset dilution</t>
  </si>
  <si>
    <t>Year Plotted -&gt;</t>
  </si>
  <si>
    <t>Gold</t>
  </si>
  <si>
    <t>Macro Inputs</t>
  </si>
  <si>
    <t>Art</t>
  </si>
  <si>
    <t>Inflation Growth</t>
  </si>
  <si>
    <t>Equity</t>
  </si>
  <si>
    <t>For Plotting chart</t>
  </si>
  <si>
    <t>Innovation Growth</t>
  </si>
  <si>
    <t>Real Estate</t>
  </si>
  <si>
    <t>BTC</t>
  </si>
  <si>
    <t>Bonds</t>
  </si>
  <si>
    <t>Annual Inefficiency</t>
  </si>
  <si>
    <t>Currency</t>
  </si>
  <si>
    <t>Yield / Interest Rate (Pre-tax)</t>
  </si>
  <si>
    <t>Results</t>
  </si>
  <si>
    <t>CAGR</t>
  </si>
  <si>
    <t>% of  Total</t>
  </si>
  <si>
    <t>Total</t>
  </si>
  <si>
    <t>24-25</t>
  </si>
  <si>
    <t>24-30</t>
  </si>
  <si>
    <t>24-35</t>
  </si>
  <si>
    <t>24-40</t>
  </si>
  <si>
    <t>24-45</t>
  </si>
  <si>
    <t>Market Cap ($T)</t>
  </si>
  <si>
    <t>BTC Price ($K)</t>
  </si>
  <si>
    <t>BTC Count (M)</t>
  </si>
  <si>
    <t>Total (Nominal) ($T)</t>
  </si>
  <si>
    <t>YoY growth</t>
  </si>
  <si>
    <t>Real (Adj. for Inflation)</t>
  </si>
  <si>
    <t>Real (Adj. for 2% CPI)</t>
  </si>
  <si>
    <t>Annual Inefficiency ($T)</t>
  </si>
  <si>
    <t>Total ($T)</t>
  </si>
  <si>
    <t>Calculations</t>
  </si>
  <si>
    <t>Inflation growth</t>
  </si>
  <si>
    <t>Innovation growth</t>
  </si>
  <si>
    <t>CPI Growth</t>
  </si>
  <si>
    <t>Monetization factor</t>
  </si>
  <si>
    <t>BTC Price YoY increase</t>
  </si>
  <si>
    <t>YoY increase in Market Cap (inflation growth + innovation growth + monetization factor)</t>
  </si>
  <si>
    <t>Implied ARR (Tax Deferred)</t>
  </si>
  <si>
    <t>gold, art, equity, RE</t>
  </si>
  <si>
    <t>bonds, currency</t>
  </si>
  <si>
    <t>Total Inefficiency</t>
  </si>
  <si>
    <t>Individual Micro Model</t>
  </si>
  <si>
    <t>Strategy -&gt;</t>
  </si>
  <si>
    <t>BTC Case -&gt;</t>
  </si>
  <si>
    <t>Annual Figures</t>
  </si>
  <si>
    <t>Starting BTC (#)</t>
  </si>
  <si>
    <t>Assets (excl. BTC) breakdown:</t>
  </si>
  <si>
    <t>Mortgage ($K)</t>
  </si>
  <si>
    <t>Assets</t>
  </si>
  <si>
    <t>Debt</t>
  </si>
  <si>
    <t>Net Assets</t>
  </si>
  <si>
    <t>BTC (#)</t>
  </si>
  <si>
    <t>Assets excl. BTC ($K)</t>
  </si>
  <si>
    <t>Mortgage Cost</t>
  </si>
  <si>
    <t>Earnings ($K)</t>
  </si>
  <si>
    <t>Earnings Growth %</t>
  </si>
  <si>
    <t>Income Tax %</t>
  </si>
  <si>
    <t>Selection</t>
  </si>
  <si>
    <t>Portfolio converted to BTC</t>
  </si>
  <si>
    <t>Excess earnings converted to BTC</t>
  </si>
  <si>
    <t>Increased mortgage to invest in BTC</t>
  </si>
  <si>
    <t>Savings rate %</t>
  </si>
  <si>
    <t>% of Total</t>
  </si>
  <si>
    <t>USD K</t>
  </si>
  <si>
    <t>Excess earnings ($K)</t>
  </si>
  <si>
    <t># of BTC Purchased</t>
  </si>
  <si>
    <t># of BTC Count</t>
  </si>
  <si>
    <t>Assets ($K)</t>
  </si>
  <si>
    <t>Total Assets ($K)</t>
  </si>
  <si>
    <t>Debt ($K)</t>
  </si>
  <si>
    <t>Net Assets ($K)</t>
  </si>
  <si>
    <t>21-Year Forecast</t>
  </si>
  <si>
    <t>Scenario Comparison</t>
  </si>
  <si>
    <t>Corporate Micro Model</t>
  </si>
  <si>
    <t>Cash Flow ($M)</t>
  </si>
  <si>
    <t>Tax % (Int. Income)</t>
  </si>
  <si>
    <t>Adj. Share Price ($ / share)</t>
  </si>
  <si>
    <t>Market Cap</t>
  </si>
  <si>
    <t>Cash Flow Growth</t>
  </si>
  <si>
    <t>Debt ($M)</t>
  </si>
  <si>
    <t>Post-Tax Cash Yield %</t>
  </si>
  <si>
    <t>Enterprise Value ($M)</t>
  </si>
  <si>
    <t>Debt Cost %</t>
  </si>
  <si>
    <t>Dividend Tax %</t>
  </si>
  <si>
    <t>Valuation Multiple (xCF)</t>
  </si>
  <si>
    <t>Cash ($M)</t>
  </si>
  <si>
    <t>Share Price ($/share)</t>
  </si>
  <si>
    <t>Mkt. Cap ($M)</t>
  </si>
  <si>
    <t># of Shares</t>
  </si>
  <si>
    <t>Treasury converted to BTC</t>
  </si>
  <si>
    <t>Cash flow invested in BTC</t>
  </si>
  <si>
    <t>Equity issued p.a. (% dilution)</t>
  </si>
  <si>
    <t>BTC NAV Premium</t>
  </si>
  <si>
    <t>Debt issued p.a. (% LTV cap)</t>
  </si>
  <si>
    <t>USD M</t>
  </si>
  <si>
    <t>Balance Sheet ($M)</t>
  </si>
  <si>
    <t>BTC ($M)</t>
  </si>
  <si>
    <t>Net Debt</t>
  </si>
  <si>
    <t>% of BTC</t>
  </si>
  <si>
    <t>- Cash (Treasury)</t>
  </si>
  <si>
    <t>- Debt</t>
  </si>
  <si>
    <t>Cash Flows ($M)</t>
  </si>
  <si>
    <t>Cash Flow</t>
  </si>
  <si>
    <t>Net Interest Expense</t>
  </si>
  <si>
    <t>Debt Issuance</t>
  </si>
  <si>
    <t>Equity Issuance</t>
  </si>
  <si>
    <t>Dividends</t>
  </si>
  <si>
    <t>BTC Purchase</t>
  </si>
  <si>
    <t>Net Change in Cash ($M)</t>
  </si>
  <si>
    <t>Valuation ($M)</t>
  </si>
  <si>
    <t>Market Value of Operations</t>
  </si>
  <si>
    <t>Less: Net Debt</t>
  </si>
  <si>
    <t>Add: BTC</t>
  </si>
  <si>
    <t>Add: BTC NAV Premium</t>
  </si>
  <si>
    <t>Market Cap ($M)</t>
  </si>
  <si>
    <t># of Shares (M)</t>
  </si>
  <si>
    <t>Share Price ($ / share)</t>
  </si>
  <si>
    <t>Post-Tax Dividends ($ / share)</t>
  </si>
  <si>
    <t>FCF</t>
  </si>
  <si>
    <t>Inv. Gain on Cash</t>
  </si>
  <si>
    <t>Debt Issued</t>
  </si>
  <si>
    <t>Interest Expense</t>
  </si>
  <si>
    <t>Cashflow to Equity ($M)</t>
  </si>
  <si>
    <t>Equity Issued</t>
  </si>
  <si>
    <t>Shares Issued</t>
  </si>
  <si>
    <t>Cashflow for BTC Purchase ($M)</t>
  </si>
  <si>
    <t>BTC Bought</t>
  </si>
  <si>
    <t>Change in Cash ($M)</t>
  </si>
  <si>
    <t>Opening Cash ($M)</t>
  </si>
  <si>
    <t>Closing Cash ($M)</t>
  </si>
  <si>
    <t>Opening BTC ($M)</t>
  </si>
  <si>
    <t>Closing BTC ($M)</t>
  </si>
  <si>
    <t>Opening Debt ($M)</t>
  </si>
  <si>
    <t>Closing Debt ($M)</t>
  </si>
  <si>
    <t>Net Debt as % of BTC</t>
  </si>
  <si>
    <t>FCF ($M)</t>
  </si>
  <si>
    <t>Valuation (xFCF)</t>
  </si>
  <si>
    <t>Mkt Value of Operations ($M)</t>
  </si>
  <si>
    <t>Add: Closing Cash</t>
  </si>
  <si>
    <t>Less: Closing Debt</t>
  </si>
  <si>
    <t>Add: Closing BTC</t>
  </si>
  <si>
    <t>Opening # of Shares</t>
  </si>
  <si>
    <t>Closing # of Shares</t>
  </si>
  <si>
    <t>Share Price ($/Share)</t>
  </si>
  <si>
    <t>YoY Growth</t>
  </si>
  <si>
    <t>Post-Tax Dividend/Share ($/Share)</t>
  </si>
  <si>
    <t>For investor owning 1 share at the beginning:</t>
  </si>
  <si>
    <t>Opening sharecount</t>
  </si>
  <si>
    <t># of shares purchased (per share)</t>
  </si>
  <si>
    <t>Closing sharecount</t>
  </si>
  <si>
    <t>Share Price Adjusted for Dividends ($/Share)</t>
  </si>
  <si>
    <t>Institution Micro Model</t>
  </si>
  <si>
    <t>Assets excl. BTC ($M)</t>
  </si>
  <si>
    <t>Assets ($M)</t>
  </si>
  <si>
    <t>Total Assets ($M)</t>
  </si>
  <si>
    <t>Debt Drawn</t>
  </si>
  <si>
    <t>Interest PIK</t>
  </si>
  <si>
    <t>Net Assets ($M)</t>
  </si>
  <si>
    <t>Growth:</t>
  </si>
  <si>
    <t>Revenue ($B)</t>
  </si>
  <si>
    <t xml:space="preserve">Revenue </t>
  </si>
  <si>
    <t>Expenditures ($B)</t>
  </si>
  <si>
    <t>Expenditures</t>
  </si>
  <si>
    <t>Debt ($B)</t>
  </si>
  <si>
    <t>Cost of Debt</t>
  </si>
  <si>
    <t>Assets excl. BTC ($B)</t>
  </si>
  <si>
    <t>Conversion program years</t>
  </si>
  <si>
    <t>Implied % converted per year</t>
  </si>
  <si>
    <t>% surplus swept to buy BTC</t>
  </si>
  <si>
    <t>Debt to buy BTC (% of Rev)</t>
  </si>
  <si>
    <t>USD B</t>
  </si>
  <si>
    <t>Cashflows ($B)</t>
  </si>
  <si>
    <t>Revenue</t>
  </si>
  <si>
    <t>Expenditure</t>
  </si>
  <si>
    <t>Surplus or Deficit ($B)</t>
  </si>
  <si>
    <t>Debt issued to cover deficit</t>
  </si>
  <si>
    <t>Debt issued to buy BTC</t>
  </si>
  <si>
    <t>Excess cashflow ($B)</t>
  </si>
  <si>
    <t>Conversion Program %</t>
  </si>
  <si>
    <t>Treasury Assets Sold</t>
  </si>
  <si>
    <t>Treasury ($B)</t>
  </si>
  <si>
    <t>Treasury Assets ($B)</t>
  </si>
  <si>
    <t>Opening Debt ($B)</t>
  </si>
  <si>
    <t>Net Assets ($B)</t>
  </si>
  <si>
    <t>21-Year Foreacast</t>
  </si>
  <si>
    <t>Assets ($B)</t>
  </si>
  <si>
    <t>Surplus converted to BTC</t>
  </si>
  <si>
    <t>Debt Issued to cover deficit</t>
  </si>
  <si>
    <t>Debt Issued to buy BTC</t>
  </si>
  <si>
    <t>Cashflow for Treasury ($B)</t>
  </si>
  <si>
    <t>Assets:</t>
  </si>
  <si>
    <t>Bitcoin (#M)</t>
  </si>
  <si>
    <t>Gold ($T)</t>
  </si>
  <si>
    <t>Debt issued (% of rev.)</t>
  </si>
  <si>
    <t>BTC Opening # (M)</t>
  </si>
  <si>
    <t>- Initial purchase program</t>
  </si>
  <si>
    <t>- Surplus purchases</t>
  </si>
  <si>
    <t>- Debt purchases</t>
  </si>
  <si>
    <t># of BTC Purchased (M)</t>
  </si>
  <si>
    <t>BTC Avg Price ($K)</t>
  </si>
  <si>
    <t>BTC Purchase Cost ($B)</t>
  </si>
  <si>
    <t># of BTC Count (M)</t>
  </si>
  <si>
    <t>Cum. BTC Avg Price ($K)</t>
  </si>
  <si>
    <t>Cum. BTC Purchase Cost ($B)</t>
  </si>
  <si>
    <t>Cashflows ($T)</t>
  </si>
  <si>
    <t>Surplus or Deficit ($T)</t>
  </si>
  <si>
    <t>BTC Purchase - Initial Program</t>
  </si>
  <si>
    <t>BTC Purchase from Surplus</t>
  </si>
  <si>
    <t>BTC Purchase from Debt</t>
  </si>
  <si>
    <t>Debt Issued or Repaid</t>
  </si>
  <si>
    <t>Cashflow for Treasury (excl. BTC) ($T)</t>
  </si>
  <si>
    <t>Treasury ($T)</t>
  </si>
  <si>
    <t>Bonds / Loans</t>
  </si>
  <si>
    <t>Treasury Assets ($T)</t>
  </si>
  <si>
    <t>Opening Debt ($T)</t>
  </si>
  <si>
    <t>Debt ($T)</t>
  </si>
  <si>
    <t>Net Assets ($T)</t>
  </si>
  <si>
    <t>Memo:</t>
  </si>
  <si>
    <t>BTC Investment Gain ($T)</t>
  </si>
  <si>
    <t>Surplus or Deficit</t>
  </si>
  <si>
    <t>Published in Feb 2023 by US Government</t>
  </si>
  <si>
    <r>
      <rPr>
        <i/>
        <u/>
        <sz val="11"/>
        <color theme="1"/>
        <rFont val="Aptos Narrow"/>
        <family val="2"/>
        <scheme val="minor"/>
      </rPr>
      <t>Original contributors:</t>
    </r>
    <r>
      <rPr>
        <i/>
        <sz val="11"/>
        <color theme="1"/>
        <rFont val="Aptos Narrow"/>
        <family val="2"/>
        <scheme val="minor"/>
      </rPr>
      <t xml:space="preserve"> </t>
    </r>
  </si>
  <si>
    <t>Michael J. Saylor</t>
  </si>
  <si>
    <t>Chaitanya Jain (CJ)</t>
  </si>
  <si>
    <t>Shirish Jajodia</t>
  </si>
  <si>
    <t>% of Assets</t>
  </si>
  <si>
    <t>Entropy Cost (Physical)</t>
  </si>
  <si>
    <t>Inflation Cost (Financial)</t>
  </si>
  <si>
    <t>Entropy Cost (Digital)</t>
  </si>
  <si>
    <t>Total Inefficiency ($T)</t>
  </si>
  <si>
    <t>Steady State ARR</t>
  </si>
  <si>
    <t>Entropy / Maint. Cost (Physical)</t>
  </si>
  <si>
    <t>Entropy / Maint. Cost (Digital)</t>
  </si>
  <si>
    <r>
      <rPr>
        <b/>
        <sz val="11"/>
        <color theme="1"/>
        <rFont val="Aptos Narrow"/>
        <family val="2"/>
        <scheme val="minor"/>
      </rPr>
      <t xml:space="preserve">Bitcoin24 </t>
    </r>
    <r>
      <rPr>
        <sz val="11"/>
        <color theme="1"/>
        <rFont val="Aptos Narrow"/>
        <family val="2"/>
        <scheme val="minor"/>
      </rPr>
      <t>is designed to simulate 21-year outcomes of various Bitcoin strategies tailored for individuals, corporations, institutions, and nation-states. Users can input their own assumptions or adjust the model to explore different scenarios. Saving the file will automatically update the scenario comparison charts in the micro models' bottom section. For the latest updates and developments on Bitcoin24, visit the project’s official GitHub.</t>
    </r>
  </si>
  <si>
    <r>
      <rPr>
        <b/>
        <sz val="11"/>
        <color theme="1"/>
        <rFont val="Aptos Narrow"/>
        <family val="2"/>
        <scheme val="minor"/>
      </rPr>
      <t xml:space="preserve">Bitcoin24 </t>
    </r>
    <r>
      <rPr>
        <sz val="11"/>
        <color theme="1"/>
        <rFont val="Aptos Narrow"/>
        <family val="2"/>
        <scheme val="minor"/>
      </rPr>
      <t>does not model Bitcoin's volatility, as its volatility profile has evolved and will continue to do so in the future. This is a simplified model intended to show possible long-term outcomes of adopting a Bitcoin standard.</t>
    </r>
  </si>
  <si>
    <t>#M BTC bought (strat. res.)</t>
  </si>
  <si>
    <t>Purchase program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</si>
</sst>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164" formatCode="_(&quot;$&quot;* #,##0_);_(&quot;$&quot;* \(#,##0\);_(&quot;$&quot;* &quot;-&quot;??_);_(@_)"/>
    <numFmt numFmtId="165" formatCode="0.0%"/>
    <numFmt numFmtId="166" formatCode="#,##0.0_);\(#,##0.0\)"/>
    <numFmt numFmtId="167" formatCode="&quot;$&quot;#,##0"/>
    <numFmt numFmtId="168" formatCode="_(&quot;$&quot;* #,##0.0_);_(&quot;$&quot;* \(#,##0.0\);_(&quot;$&quot;* &quot;-&quot;??_);_(@_)"/>
    <numFmt numFmtId="169" formatCode="&quot;$&quot;#,##0.0"/>
    <numFmt numFmtId="170" formatCode="0.0"/>
    <numFmt numFmtId="171" formatCode="#,##0.0"/>
    <numFmt numFmtId="172" formatCode="#,##0.000"/>
    <numFmt numFmtId="173" formatCode="_(&quot;$&quot;* #,##0&quot;M&quot;_);_(&quot;$&quot;* \(#,##0&quot;M&quot;\);_(&quot;$&quot;* &quot;-&quot;??_);_(@_)"/>
    <numFmt numFmtId="174" formatCode="_(&quot;$&quot;* #,##0&quot;T&quot;_);_(&quot;$&quot;* \(#,##0\)&quot;T&quot;;_(&quot;$&quot;* &quot;-&quot;??_);_(@_)"/>
    <numFmt numFmtId="175" formatCode="_(&quot;$&quot;* #,##0&quot;B&quot;_);_(&quot;$&quot;* \(#,##0&quot;B&quot;\);_(&quot;$&quot;* &quot;-&quot;??_);_(@_)"/>
    <numFmt numFmtId="176" formatCode="_(&quot;$&quot;* #,##0.0&quot;M&quot;_);_(&quot;$&quot;* \(#,##0.0\);_(&quot;$&quot;* &quot;-&quot;??_);_(@_)"/>
    <numFmt numFmtId="177" formatCode="_(&quot;$&quot;* #,##0&quot;T&quot;_);_(&quot;$&quot;* \(#,##0\);_(&quot;$&quot;* &quot;-&quot;??_);_(@_)"/>
    <numFmt numFmtId="178" formatCode="0.0_);\(0.0\)"/>
    <numFmt numFmtId="179" formatCode="&quot;$&quot;#,##0.00"/>
    <numFmt numFmtId="180" formatCode="&quot;$&quot;#,##0&quot;M&quot;"/>
    <numFmt numFmtId="181" formatCode="&quot;$&quot;#,##0.0&quot;M&quot;"/>
    <numFmt numFmtId="182" formatCode="&quot;$&quot;#,##0&quot;B&quot;"/>
    <numFmt numFmtId="183" formatCode="&quot;$&quot;#,##0&quot;T&quot;"/>
    <numFmt numFmtId="184" formatCode="&quot;$&quot;#,##0.0&quot;T&quot;"/>
    <numFmt numFmtId="185" formatCode="0.000"/>
    <numFmt numFmtId="186" formatCode="&quot;$&quot;#,##0.0&quot;K&quot;"/>
    <numFmt numFmtId="187" formatCode="#,##0.0&quot;K&quot;"/>
    <numFmt numFmtId="188" formatCode="#,##0.0&quot;M&quot;"/>
    <numFmt numFmtId="189" formatCode="#,##0&quot;K&quot;"/>
    <numFmt numFmtId="190" formatCode="_(&quot;$&quot;* #,##0.000_);_(&quot;$&quot;* \(#,##0.000\);_(&quot;$&quot;* &quot;-&quot;??_);_(@_)"/>
  </numFmts>
  <fonts count="39"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rgb="FF0000FF"/>
      <name val="Aptos Narrow"/>
      <family val="2"/>
      <scheme val="minor"/>
    </font>
    <font>
      <b/>
      <u/>
      <sz val="11"/>
      <color theme="1"/>
      <name val="Aptos Narrow"/>
      <family val="2"/>
      <scheme val="minor"/>
    </font>
    <font>
      <i/>
      <sz val="11"/>
      <color theme="1"/>
      <name val="Aptos Narrow"/>
      <family val="2"/>
      <scheme val="minor"/>
    </font>
    <font>
      <i/>
      <sz val="11"/>
      <color rgb="FF0000FF"/>
      <name val="Aptos Narrow"/>
      <family val="2"/>
      <scheme val="minor"/>
    </font>
    <font>
      <i/>
      <u/>
      <sz val="11"/>
      <color theme="1"/>
      <name val="Aptos Narrow"/>
      <family val="2"/>
      <scheme val="minor"/>
    </font>
    <font>
      <sz val="11"/>
      <color rgb="FF000000"/>
      <name val="Aptos Narrow"/>
      <family val="2"/>
      <scheme val="minor"/>
    </font>
    <font>
      <b/>
      <sz val="11"/>
      <color rgb="FF000000"/>
      <name val="Aptos Narrow"/>
      <family val="2"/>
      <scheme val="minor"/>
    </font>
    <font>
      <b/>
      <i/>
      <sz val="11"/>
      <color theme="1"/>
      <name val="Aptos Narrow"/>
      <family val="2"/>
      <scheme val="minor"/>
    </font>
    <font>
      <b/>
      <i/>
      <u/>
      <sz val="11"/>
      <color theme="1"/>
      <name val="Aptos Narrow"/>
      <family val="2"/>
      <scheme val="minor"/>
    </font>
    <font>
      <i/>
      <sz val="11"/>
      <color rgb="FF000000"/>
      <name val="Aptos Narrow"/>
      <family val="2"/>
      <scheme val="minor"/>
    </font>
    <font>
      <b/>
      <i/>
      <u/>
      <sz val="11"/>
      <color rgb="FF0000FF"/>
      <name val="Aptos Narrow"/>
      <family val="2"/>
      <scheme val="minor"/>
    </font>
    <font>
      <i/>
      <sz val="11"/>
      <name val="Aptos Narrow"/>
      <family val="2"/>
      <scheme val="minor"/>
    </font>
    <font>
      <sz val="11"/>
      <name val="Aptos Narrow"/>
      <family val="2"/>
      <scheme val="minor"/>
    </font>
    <font>
      <u/>
      <sz val="11"/>
      <color theme="10"/>
      <name val="Aptos Narrow"/>
      <family val="2"/>
      <scheme val="minor"/>
    </font>
    <font>
      <sz val="11"/>
      <color theme="0"/>
      <name val="Aptos Narrow"/>
      <family val="2"/>
      <scheme val="minor"/>
    </font>
    <font>
      <b/>
      <sz val="26"/>
      <color theme="1"/>
      <name val="Aptos Narrow"/>
      <family val="2"/>
      <scheme val="minor"/>
    </font>
    <font>
      <b/>
      <u/>
      <sz val="11"/>
      <color theme="0"/>
      <name val="Aptos Narrow"/>
      <family val="2"/>
      <scheme val="minor"/>
    </font>
    <font>
      <b/>
      <sz val="11"/>
      <color theme="0"/>
      <name val="Aptos Narrow"/>
      <family val="2"/>
      <scheme val="minor"/>
    </font>
    <font>
      <b/>
      <u/>
      <sz val="12"/>
      <color theme="0"/>
      <name val="Aptos Narrow"/>
      <family val="2"/>
      <scheme val="minor"/>
    </font>
    <font>
      <b/>
      <i/>
      <sz val="20"/>
      <color theme="1"/>
      <name val="Aptos Narrow"/>
      <family val="2"/>
      <scheme val="minor"/>
    </font>
    <font>
      <sz val="14"/>
      <color theme="1"/>
      <name val="Aptos Narrow"/>
      <family val="2"/>
      <scheme val="minor"/>
    </font>
    <font>
      <b/>
      <i/>
      <sz val="11"/>
      <color theme="0"/>
      <name val="Aptos Narrow"/>
      <family val="2"/>
      <scheme val="minor"/>
    </font>
    <font>
      <u/>
      <sz val="11"/>
      <color theme="1"/>
      <name val="Aptos Narrow"/>
      <family val="2"/>
      <scheme val="minor"/>
    </font>
    <font>
      <b/>
      <u/>
      <sz val="11"/>
      <color theme="4"/>
      <name val="Aptos Narrow"/>
      <family val="2"/>
      <scheme val="minor"/>
    </font>
    <font>
      <sz val="11"/>
      <color rgb="FFFF0000"/>
      <name val="Aptos Narrow"/>
      <family val="2"/>
      <scheme val="minor"/>
    </font>
    <font>
      <b/>
      <sz val="14"/>
      <color theme="1"/>
      <name val="Aptos Narrow"/>
      <family val="2"/>
      <scheme val="minor"/>
    </font>
    <font>
      <b/>
      <sz val="14"/>
      <color theme="0"/>
      <name val="Aptos Narrow"/>
      <family val="2"/>
      <scheme val="minor"/>
    </font>
    <font>
      <b/>
      <u/>
      <sz val="11"/>
      <color rgb="FF00B0F0"/>
      <name val="Aptos Narrow"/>
      <family val="2"/>
      <scheme val="minor"/>
    </font>
    <font>
      <b/>
      <sz val="11"/>
      <name val="Aptos Narrow"/>
      <family val="2"/>
      <scheme val="minor"/>
    </font>
    <font>
      <b/>
      <i/>
      <sz val="20"/>
      <color rgb="FF000000"/>
      <name val="Aptos Narrow"/>
      <family val="2"/>
      <scheme val="minor"/>
    </font>
    <font>
      <b/>
      <sz val="14"/>
      <color rgb="FF000000"/>
      <name val="Aptos Narrow"/>
      <family val="2"/>
      <scheme val="minor"/>
    </font>
    <font>
      <b/>
      <sz val="14"/>
      <name val="Aptos Narrow"/>
      <family val="2"/>
      <scheme val="minor"/>
    </font>
    <font>
      <u/>
      <sz val="11"/>
      <color rgb="FF000000"/>
      <name val="Aptos Narrow"/>
      <family val="2"/>
    </font>
    <font>
      <sz val="11"/>
      <color rgb="FF000000"/>
      <name val="Aptos Narrow"/>
      <family val="2"/>
    </font>
    <font>
      <i/>
      <u/>
      <sz val="11"/>
      <color theme="10"/>
      <name val="Aptos Narrow"/>
      <family val="2"/>
      <scheme val="minor"/>
    </font>
    <font>
      <b/>
      <sz val="48"/>
      <color rgb="FF000000"/>
      <name val="Aptos Narrow"/>
      <family val="2"/>
      <scheme val="minor"/>
    </font>
  </fonts>
  <fills count="12">
    <fill>
      <patternFill patternType="none"/>
    </fill>
    <fill>
      <patternFill patternType="gray125"/>
    </fill>
    <fill>
      <patternFill patternType="solid">
        <fgColor rgb="FFFFC000"/>
        <bgColor indexed="64"/>
      </patternFill>
    </fill>
    <fill>
      <patternFill patternType="solid">
        <fgColor theme="5" tint="0.79998168889431442"/>
        <bgColor indexed="64"/>
      </patternFill>
    </fill>
    <fill>
      <patternFill patternType="solid">
        <fgColor theme="0"/>
        <bgColor indexed="64"/>
      </patternFill>
    </fill>
    <fill>
      <patternFill patternType="solid">
        <fgColor rgb="FFFFFFCC"/>
        <bgColor indexed="64"/>
      </patternFill>
    </fill>
    <fill>
      <patternFill patternType="solid">
        <fgColor rgb="FFF7931A"/>
        <bgColor indexed="64"/>
      </patternFill>
    </fill>
    <fill>
      <patternFill patternType="solid">
        <fgColor rgb="FF15256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FFFFFF"/>
        <bgColor indexed="64"/>
      </patternFill>
    </fill>
  </fills>
  <borders count="33">
    <border>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ashed">
        <color indexed="64"/>
      </left>
      <right style="dashed">
        <color indexed="64"/>
      </right>
      <top style="dashed">
        <color indexed="64"/>
      </top>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top style="dashed">
        <color indexed="64"/>
      </top>
      <bottom style="dashed">
        <color indexed="64"/>
      </bottom>
      <diagonal/>
    </border>
    <border>
      <left style="thin">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dashed">
        <color indexed="64"/>
      </right>
      <top style="dashed">
        <color indexed="64"/>
      </top>
      <bottom style="thin">
        <color indexed="64"/>
      </bottom>
      <diagonal/>
    </border>
    <border>
      <left style="dashed">
        <color indexed="64"/>
      </left>
      <right style="thin">
        <color indexed="64"/>
      </right>
      <top style="dashed">
        <color indexed="64"/>
      </top>
      <bottom style="thin">
        <color indexed="64"/>
      </bottom>
      <diagonal/>
    </border>
    <border>
      <left/>
      <right/>
      <top/>
      <bottom style="thin">
        <color theme="0"/>
      </bottom>
      <diagonal/>
    </border>
    <border>
      <left style="dashed">
        <color indexed="64"/>
      </left>
      <right style="dashed">
        <color indexed="64"/>
      </right>
      <top/>
      <bottom style="dashed">
        <color indexed="64"/>
      </bottom>
      <diagonal/>
    </border>
    <border>
      <left style="dashed">
        <color indexed="64"/>
      </left>
      <right/>
      <top style="thin">
        <color indexed="64"/>
      </top>
      <bottom style="dashed">
        <color indexed="64"/>
      </bottom>
      <diagonal/>
    </border>
    <border>
      <left/>
      <right/>
      <top style="dashed">
        <color indexed="64"/>
      </top>
      <bottom/>
      <diagonal/>
    </border>
    <border>
      <left style="thin">
        <color indexed="64"/>
      </left>
      <right/>
      <top style="thin">
        <color indexed="64"/>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6" fillId="0" borderId="0" applyNumberFormat="0" applyFill="0" applyBorder="0" applyAlignment="0" applyProtection="0"/>
  </cellStyleXfs>
  <cellXfs count="321">
    <xf numFmtId="0" fontId="0" fillId="0" borderId="0" xfId="0"/>
    <xf numFmtId="9" fontId="0" fillId="0" borderId="0" xfId="0" applyNumberFormat="1"/>
    <xf numFmtId="164" fontId="0" fillId="0" borderId="0" xfId="0" applyNumberFormat="1"/>
    <xf numFmtId="0" fontId="2" fillId="0" borderId="0" xfId="0" applyFont="1"/>
    <xf numFmtId="0" fontId="4" fillId="0" borderId="0" xfId="0" applyFont="1"/>
    <xf numFmtId="0" fontId="2" fillId="0" borderId="1" xfId="0" applyFont="1" applyBorder="1"/>
    <xf numFmtId="0" fontId="5" fillId="0" borderId="0" xfId="0" applyFont="1"/>
    <xf numFmtId="164" fontId="6" fillId="0" borderId="0" xfId="1" applyNumberFormat="1" applyFont="1"/>
    <xf numFmtId="164" fontId="5" fillId="0" borderId="0" xfId="0" applyNumberFormat="1" applyFont="1"/>
    <xf numFmtId="165" fontId="5" fillId="0" borderId="0" xfId="2" applyNumberFormat="1" applyFont="1" applyBorder="1"/>
    <xf numFmtId="0" fontId="4" fillId="0" borderId="0" xfId="0" applyFont="1" applyAlignment="1">
      <alignment horizontal="center"/>
    </xf>
    <xf numFmtId="0" fontId="0" fillId="0" borderId="0" xfId="0" applyAlignment="1">
      <alignment horizontal="center"/>
    </xf>
    <xf numFmtId="165" fontId="5" fillId="0" borderId="0" xfId="2" applyNumberFormat="1" applyFont="1"/>
    <xf numFmtId="165" fontId="10" fillId="0" borderId="0" xfId="2" applyNumberFormat="1" applyFont="1"/>
    <xf numFmtId="165" fontId="10" fillId="0" borderId="1" xfId="2" applyNumberFormat="1" applyFont="1" applyBorder="1"/>
    <xf numFmtId="165" fontId="10" fillId="0" borderId="0" xfId="2" applyNumberFormat="1" applyFont="1" applyBorder="1"/>
    <xf numFmtId="164" fontId="2" fillId="0" borderId="1" xfId="1" applyNumberFormat="1" applyFont="1" applyBorder="1"/>
    <xf numFmtId="164" fontId="2" fillId="0" borderId="0" xfId="1" applyNumberFormat="1" applyFont="1" applyBorder="1"/>
    <xf numFmtId="0" fontId="5" fillId="0" borderId="0" xfId="0" applyFont="1" applyAlignment="1">
      <alignment horizontal="left" indent="1"/>
    </xf>
    <xf numFmtId="165" fontId="12" fillId="0" borderId="0" xfId="2" applyNumberFormat="1" applyFont="1"/>
    <xf numFmtId="164" fontId="8" fillId="0" borderId="0" xfId="0" applyNumberFormat="1" applyFont="1"/>
    <xf numFmtId="0" fontId="0" fillId="0" borderId="1" xfId="0" applyBorder="1"/>
    <xf numFmtId="165" fontId="5" fillId="0" borderId="1" xfId="2" applyNumberFormat="1" applyFont="1" applyBorder="1"/>
    <xf numFmtId="164" fontId="2" fillId="0" borderId="0" xfId="0" applyNumberFormat="1" applyFont="1"/>
    <xf numFmtId="164" fontId="2" fillId="0" borderId="1" xfId="0" applyNumberFormat="1" applyFont="1" applyBorder="1"/>
    <xf numFmtId="165" fontId="6" fillId="0" borderId="0" xfId="2" applyNumberFormat="1" applyFont="1" applyBorder="1"/>
    <xf numFmtId="0" fontId="5" fillId="0" borderId="0" xfId="0" applyFont="1" applyAlignment="1">
      <alignment horizontal="right"/>
    </xf>
    <xf numFmtId="165" fontId="5" fillId="0" borderId="0" xfId="2" applyNumberFormat="1" applyFont="1" applyBorder="1" applyAlignment="1">
      <alignment horizontal="right"/>
    </xf>
    <xf numFmtId="0" fontId="0" fillId="0" borderId="0" xfId="0" applyAlignment="1">
      <alignment horizontal="right"/>
    </xf>
    <xf numFmtId="165" fontId="12" fillId="0" borderId="0" xfId="2" applyNumberFormat="1" applyFont="1" applyBorder="1"/>
    <xf numFmtId="165" fontId="12" fillId="0" borderId="4" xfId="2" applyNumberFormat="1" applyFont="1" applyBorder="1"/>
    <xf numFmtId="165" fontId="12" fillId="0" borderId="6" xfId="2" applyNumberFormat="1" applyFont="1" applyBorder="1"/>
    <xf numFmtId="165" fontId="12" fillId="0" borderId="7" xfId="2" applyNumberFormat="1" applyFont="1" applyBorder="1"/>
    <xf numFmtId="0" fontId="9" fillId="2" borderId="2" xfId="0" applyFont="1" applyFill="1" applyBorder="1"/>
    <xf numFmtId="167" fontId="8" fillId="0" borderId="0" xfId="2" applyNumberFormat="1" applyFont="1"/>
    <xf numFmtId="0" fontId="2" fillId="0" borderId="0" xfId="0" applyFont="1" applyAlignment="1">
      <alignment horizontal="center"/>
    </xf>
    <xf numFmtId="164" fontId="9" fillId="0" borderId="0" xfId="0" applyNumberFormat="1" applyFont="1"/>
    <xf numFmtId="3" fontId="0" fillId="0" borderId="0" xfId="0" applyNumberFormat="1"/>
    <xf numFmtId="167" fontId="6" fillId="0" borderId="0" xfId="2" applyNumberFormat="1" applyFont="1" applyBorder="1"/>
    <xf numFmtId="167" fontId="0" fillId="0" borderId="0" xfId="0" applyNumberFormat="1"/>
    <xf numFmtId="167" fontId="14" fillId="0" borderId="0" xfId="2" applyNumberFormat="1" applyFont="1" applyBorder="1"/>
    <xf numFmtId="3" fontId="14" fillId="0" borderId="0" xfId="2" applyNumberFormat="1" applyFont="1" applyBorder="1"/>
    <xf numFmtId="165" fontId="14" fillId="0" borderId="0" xfId="2" applyNumberFormat="1" applyFont="1" applyBorder="1"/>
    <xf numFmtId="170" fontId="0" fillId="0" borderId="0" xfId="0" applyNumberFormat="1"/>
    <xf numFmtId="170" fontId="5" fillId="0" borderId="0" xfId="0" applyNumberFormat="1" applyFont="1"/>
    <xf numFmtId="170" fontId="6" fillId="0" borderId="0" xfId="2" applyNumberFormat="1" applyFont="1" applyBorder="1"/>
    <xf numFmtId="170" fontId="14" fillId="0" borderId="0" xfId="2" applyNumberFormat="1" applyFont="1" applyFill="1" applyBorder="1" applyAlignment="1"/>
    <xf numFmtId="44" fontId="0" fillId="0" borderId="0" xfId="0" applyNumberFormat="1"/>
    <xf numFmtId="0" fontId="0" fillId="0" borderId="0" xfId="0" applyAlignment="1">
      <alignment horizontal="left" indent="1"/>
    </xf>
    <xf numFmtId="0" fontId="0" fillId="0" borderId="0" xfId="0" applyAlignment="1">
      <alignment horizontal="left"/>
    </xf>
    <xf numFmtId="168" fontId="0" fillId="0" borderId="0" xfId="0" applyNumberFormat="1"/>
    <xf numFmtId="0" fontId="2" fillId="0" borderId="1" xfId="0" applyFont="1" applyBorder="1" applyAlignment="1">
      <alignment horizontal="left"/>
    </xf>
    <xf numFmtId="0" fontId="2" fillId="3" borderId="0" xfId="0" applyFont="1" applyFill="1"/>
    <xf numFmtId="164" fontId="2" fillId="3" borderId="0" xfId="0" applyNumberFormat="1" applyFont="1" applyFill="1"/>
    <xf numFmtId="165" fontId="10" fillId="3" borderId="0" xfId="2" applyNumberFormat="1" applyFont="1" applyFill="1"/>
    <xf numFmtId="37" fontId="5" fillId="0" borderId="0" xfId="0" applyNumberFormat="1" applyFont="1"/>
    <xf numFmtId="0" fontId="5" fillId="0" borderId="0" xfId="0" applyFont="1" applyAlignment="1">
      <alignment horizontal="left" indent="2"/>
    </xf>
    <xf numFmtId="165" fontId="5" fillId="0" borderId="0" xfId="2" applyNumberFormat="1" applyFont="1" applyAlignment="1">
      <alignment vertical="top"/>
    </xf>
    <xf numFmtId="167" fontId="15" fillId="0" borderId="0" xfId="2" applyNumberFormat="1" applyFont="1" applyBorder="1"/>
    <xf numFmtId="0" fontId="2" fillId="0" borderId="0" xfId="0" applyFont="1" applyAlignment="1">
      <alignment horizontal="left"/>
    </xf>
    <xf numFmtId="168" fontId="2" fillId="0" borderId="1" xfId="0" applyNumberFormat="1" applyFont="1" applyBorder="1"/>
    <xf numFmtId="168" fontId="2" fillId="0" borderId="0" xfId="0" applyNumberFormat="1" applyFont="1"/>
    <xf numFmtId="168" fontId="8" fillId="0" borderId="0" xfId="0" applyNumberFormat="1" applyFont="1"/>
    <xf numFmtId="168" fontId="9" fillId="0" borderId="0" xfId="0" applyNumberFormat="1" applyFont="1"/>
    <xf numFmtId="169" fontId="15" fillId="0" borderId="0" xfId="2" applyNumberFormat="1" applyFont="1" applyBorder="1"/>
    <xf numFmtId="169" fontId="0" fillId="0" borderId="0" xfId="0" applyNumberFormat="1"/>
    <xf numFmtId="171" fontId="3" fillId="0" borderId="0" xfId="2" applyNumberFormat="1" applyFont="1" applyBorder="1"/>
    <xf numFmtId="171" fontId="15" fillId="0" borderId="0" xfId="2" applyNumberFormat="1" applyFont="1" applyBorder="1"/>
    <xf numFmtId="171" fontId="8" fillId="0" borderId="0" xfId="2" applyNumberFormat="1" applyFont="1"/>
    <xf numFmtId="44" fontId="8" fillId="0" borderId="0" xfId="0" applyNumberFormat="1" applyFont="1"/>
    <xf numFmtId="9" fontId="5" fillId="0" borderId="0" xfId="2" applyFont="1" applyAlignment="1">
      <alignment horizontal="right"/>
    </xf>
    <xf numFmtId="165" fontId="0" fillId="0" borderId="0" xfId="0" applyNumberFormat="1"/>
    <xf numFmtId="1" fontId="0" fillId="0" borderId="0" xfId="0" applyNumberFormat="1"/>
    <xf numFmtId="172" fontId="3" fillId="0" borderId="0" xfId="2" applyNumberFormat="1" applyFont="1" applyBorder="1"/>
    <xf numFmtId="0" fontId="16" fillId="0" borderId="0" xfId="3"/>
    <xf numFmtId="9" fontId="0" fillId="0" borderId="0" xfId="2" applyFont="1"/>
    <xf numFmtId="173" fontId="0" fillId="0" borderId="0" xfId="0" applyNumberFormat="1"/>
    <xf numFmtId="174" fontId="0" fillId="0" borderId="0" xfId="0" applyNumberFormat="1"/>
    <xf numFmtId="175" fontId="0" fillId="0" borderId="0" xfId="0" applyNumberFormat="1"/>
    <xf numFmtId="9" fontId="6" fillId="0" borderId="0" xfId="2" applyFont="1"/>
    <xf numFmtId="37" fontId="0" fillId="0" borderId="0" xfId="0" applyNumberFormat="1"/>
    <xf numFmtId="1" fontId="12" fillId="0" borderId="0" xfId="2" applyNumberFormat="1" applyFont="1"/>
    <xf numFmtId="39" fontId="0" fillId="0" borderId="0" xfId="0" applyNumberFormat="1"/>
    <xf numFmtId="165" fontId="14" fillId="0" borderId="0" xfId="2" applyNumberFormat="1" applyFont="1" applyFill="1" applyBorder="1" applyAlignment="1"/>
    <xf numFmtId="165" fontId="6" fillId="0" borderId="0" xfId="2" applyNumberFormat="1" applyFont="1" applyFill="1"/>
    <xf numFmtId="172" fontId="15" fillId="0" borderId="0" xfId="2" applyNumberFormat="1" applyFont="1" applyFill="1" applyBorder="1"/>
    <xf numFmtId="9" fontId="5" fillId="0" borderId="0" xfId="2" applyFont="1" applyAlignment="1">
      <alignment vertical="top"/>
    </xf>
    <xf numFmtId="165" fontId="12" fillId="0" borderId="3" xfId="2" applyNumberFormat="1" applyFont="1" applyBorder="1"/>
    <xf numFmtId="165" fontId="12" fillId="0" borderId="10" xfId="2" applyNumberFormat="1" applyFont="1" applyBorder="1"/>
    <xf numFmtId="165" fontId="12" fillId="0" borderId="5" xfId="2" applyNumberFormat="1" applyFont="1" applyBorder="1"/>
    <xf numFmtId="165" fontId="12" fillId="0" borderId="8" xfId="2" applyNumberFormat="1" applyFont="1" applyBorder="1"/>
    <xf numFmtId="165" fontId="12" fillId="0" borderId="11" xfId="2" applyNumberFormat="1" applyFont="1" applyBorder="1"/>
    <xf numFmtId="176" fontId="0" fillId="0" borderId="0" xfId="0" applyNumberFormat="1"/>
    <xf numFmtId="176" fontId="0" fillId="0" borderId="10" xfId="0" applyNumberFormat="1" applyBorder="1"/>
    <xf numFmtId="176" fontId="0" fillId="0" borderId="3" xfId="0" applyNumberFormat="1" applyBorder="1"/>
    <xf numFmtId="177" fontId="0" fillId="0" borderId="0" xfId="0" applyNumberFormat="1"/>
    <xf numFmtId="177" fontId="0" fillId="0" borderId="3" xfId="0" applyNumberFormat="1" applyBorder="1"/>
    <xf numFmtId="177" fontId="0" fillId="0" borderId="10" xfId="0" applyNumberFormat="1" applyBorder="1"/>
    <xf numFmtId="170" fontId="0" fillId="0" borderId="0" xfId="2" applyNumberFormat="1" applyFont="1"/>
    <xf numFmtId="3" fontId="0" fillId="0" borderId="0" xfId="2" applyNumberFormat="1" applyFont="1"/>
    <xf numFmtId="178" fontId="0" fillId="0" borderId="0" xfId="0" applyNumberFormat="1"/>
    <xf numFmtId="168" fontId="3" fillId="0" borderId="0" xfId="0" applyNumberFormat="1" applyFont="1"/>
    <xf numFmtId="0" fontId="18" fillId="4" borderId="0" xfId="0" applyFont="1" applyFill="1" applyAlignment="1">
      <alignment horizontal="centerContinuous"/>
    </xf>
    <xf numFmtId="165" fontId="13" fillId="0" borderId="0" xfId="2" applyNumberFormat="1" applyFont="1" applyBorder="1" applyAlignment="1">
      <alignment horizontal="center"/>
    </xf>
    <xf numFmtId="165" fontId="6" fillId="5" borderId="12" xfId="2" applyNumberFormat="1" applyFont="1" applyFill="1" applyBorder="1"/>
    <xf numFmtId="165" fontId="6" fillId="5" borderId="13" xfId="2" applyNumberFormat="1" applyFont="1" applyFill="1" applyBorder="1"/>
    <xf numFmtId="165" fontId="13" fillId="0" borderId="0" xfId="2" applyNumberFormat="1" applyFont="1" applyBorder="1" applyAlignment="1">
      <alignment horizontal="centerContinuous"/>
    </xf>
    <xf numFmtId="165" fontId="1" fillId="0" borderId="0" xfId="2" applyNumberFormat="1" applyFont="1" applyBorder="1" applyAlignment="1">
      <alignment horizontal="right"/>
    </xf>
    <xf numFmtId="169" fontId="6" fillId="5" borderId="12" xfId="2" applyNumberFormat="1" applyFont="1" applyFill="1" applyBorder="1"/>
    <xf numFmtId="176" fontId="0" fillId="0" borderId="6" xfId="0" applyNumberFormat="1" applyBorder="1"/>
    <xf numFmtId="177" fontId="0" fillId="0" borderId="6" xfId="0" applyNumberFormat="1" applyBorder="1"/>
    <xf numFmtId="165" fontId="5" fillId="0" borderId="6" xfId="0" applyNumberFormat="1" applyFont="1" applyBorder="1"/>
    <xf numFmtId="165" fontId="5" fillId="0" borderId="7" xfId="0" applyNumberFormat="1" applyFont="1" applyBorder="1"/>
    <xf numFmtId="0" fontId="9" fillId="2" borderId="4" xfId="0" applyFont="1" applyFill="1" applyBorder="1" applyAlignment="1">
      <alignment horizontal="center"/>
    </xf>
    <xf numFmtId="0" fontId="9" fillId="0" borderId="2" xfId="0" applyFont="1" applyBorder="1" applyAlignment="1">
      <alignment horizontal="center"/>
    </xf>
    <xf numFmtId="165" fontId="6" fillId="5" borderId="21" xfId="2" applyNumberFormat="1" applyFont="1" applyFill="1" applyBorder="1"/>
    <xf numFmtId="165" fontId="6" fillId="5" borderId="22" xfId="2" applyNumberFormat="1" applyFont="1" applyFill="1" applyBorder="1"/>
    <xf numFmtId="165" fontId="6" fillId="5" borderId="23" xfId="2" applyNumberFormat="1" applyFont="1" applyFill="1" applyBorder="1"/>
    <xf numFmtId="165" fontId="6" fillId="5" borderId="24" xfId="2" applyNumberFormat="1" applyFont="1" applyFill="1" applyBorder="1"/>
    <xf numFmtId="165" fontId="6" fillId="5" borderId="25" xfId="2" applyNumberFormat="1" applyFont="1" applyFill="1" applyBorder="1"/>
    <xf numFmtId="165" fontId="6" fillId="5" borderId="26" xfId="2" applyNumberFormat="1" applyFont="1" applyFill="1" applyBorder="1"/>
    <xf numFmtId="165" fontId="6" fillId="5" borderId="27" xfId="2" applyNumberFormat="1" applyFont="1" applyFill="1" applyBorder="1"/>
    <xf numFmtId="164" fontId="12" fillId="0" borderId="0" xfId="0" applyNumberFormat="1" applyFont="1"/>
    <xf numFmtId="164" fontId="3" fillId="5" borderId="12" xfId="0" applyNumberFormat="1" applyFont="1" applyFill="1" applyBorder="1"/>
    <xf numFmtId="164" fontId="3" fillId="5" borderId="17" xfId="0" applyNumberFormat="1" applyFont="1" applyFill="1" applyBorder="1"/>
    <xf numFmtId="165" fontId="6" fillId="5" borderId="12" xfId="0" applyNumberFormat="1" applyFont="1" applyFill="1" applyBorder="1"/>
    <xf numFmtId="10" fontId="6" fillId="5" borderId="12" xfId="0" applyNumberFormat="1" applyFont="1" applyFill="1" applyBorder="1"/>
    <xf numFmtId="0" fontId="17" fillId="8" borderId="0" xfId="0" applyFont="1" applyFill="1"/>
    <xf numFmtId="0" fontId="19" fillId="8" borderId="0" xfId="0" applyFont="1" applyFill="1" applyAlignment="1">
      <alignment horizontal="center"/>
    </xf>
    <xf numFmtId="0" fontId="19" fillId="8" borderId="0" xfId="0" applyFont="1" applyFill="1"/>
    <xf numFmtId="0" fontId="5" fillId="0" borderId="8" xfId="0" applyFont="1" applyBorder="1" applyAlignment="1">
      <alignment horizontal="left" indent="1"/>
    </xf>
    <xf numFmtId="166" fontId="5" fillId="0" borderId="8" xfId="1" applyNumberFormat="1" applyFont="1" applyBorder="1"/>
    <xf numFmtId="166" fontId="5" fillId="0" borderId="8" xfId="0" applyNumberFormat="1" applyFont="1" applyBorder="1"/>
    <xf numFmtId="165" fontId="5" fillId="0" borderId="8" xfId="2" applyNumberFormat="1" applyFont="1" applyBorder="1"/>
    <xf numFmtId="0" fontId="2" fillId="3" borderId="1" xfId="0" applyFont="1" applyFill="1" applyBorder="1"/>
    <xf numFmtId="164" fontId="2" fillId="3" borderId="1" xfId="1" applyNumberFormat="1" applyFont="1" applyFill="1" applyBorder="1"/>
    <xf numFmtId="165" fontId="10" fillId="3" borderId="1" xfId="2" applyNumberFormat="1" applyFont="1" applyFill="1" applyBorder="1"/>
    <xf numFmtId="165" fontId="10" fillId="3" borderId="0" xfId="2" applyNumberFormat="1" applyFont="1" applyFill="1" applyBorder="1"/>
    <xf numFmtId="164" fontId="2" fillId="3" borderId="0" xfId="1" applyNumberFormat="1" applyFont="1" applyFill="1" applyBorder="1"/>
    <xf numFmtId="0" fontId="10" fillId="3" borderId="14" xfId="0" applyFont="1" applyFill="1" applyBorder="1" applyAlignment="1">
      <alignment horizontal="center"/>
    </xf>
    <xf numFmtId="165" fontId="10" fillId="3" borderId="15" xfId="2" applyNumberFormat="1" applyFont="1" applyFill="1" applyBorder="1" applyAlignment="1">
      <alignment horizontal="center"/>
    </xf>
    <xf numFmtId="165" fontId="10" fillId="3" borderId="16" xfId="2" applyNumberFormat="1" applyFont="1" applyFill="1" applyBorder="1" applyAlignment="1">
      <alignment horizontal="center"/>
    </xf>
    <xf numFmtId="165" fontId="10" fillId="3" borderId="1" xfId="2" applyNumberFormat="1" applyFont="1" applyFill="1" applyBorder="1" applyAlignment="1">
      <alignment horizontal="center"/>
    </xf>
    <xf numFmtId="165" fontId="10" fillId="3" borderId="9" xfId="2" applyNumberFormat="1" applyFont="1" applyFill="1" applyBorder="1" applyAlignment="1">
      <alignment horizontal="center"/>
    </xf>
    <xf numFmtId="0" fontId="20" fillId="8" borderId="28" xfId="0" applyFont="1" applyFill="1" applyBorder="1" applyAlignment="1">
      <alignment horizontal="centerContinuous"/>
    </xf>
    <xf numFmtId="0" fontId="17" fillId="8" borderId="28" xfId="0" applyFont="1" applyFill="1" applyBorder="1" applyAlignment="1">
      <alignment horizontal="centerContinuous"/>
    </xf>
    <xf numFmtId="165" fontId="5" fillId="0" borderId="0" xfId="2" applyNumberFormat="1" applyFont="1" applyFill="1" applyBorder="1"/>
    <xf numFmtId="0" fontId="0" fillId="0" borderId="8" xfId="0" applyBorder="1"/>
    <xf numFmtId="0" fontId="11" fillId="9" borderId="0" xfId="0" applyFont="1" applyFill="1"/>
    <xf numFmtId="0" fontId="0" fillId="9" borderId="0" xfId="0" applyFill="1"/>
    <xf numFmtId="165" fontId="5" fillId="9" borderId="0" xfId="2" applyNumberFormat="1" applyFont="1" applyFill="1" applyBorder="1"/>
    <xf numFmtId="165" fontId="7" fillId="9" borderId="0" xfId="2" applyNumberFormat="1" applyFont="1" applyFill="1" applyBorder="1"/>
    <xf numFmtId="164" fontId="0" fillId="9" borderId="0" xfId="1" applyNumberFormat="1" applyFont="1" applyFill="1"/>
    <xf numFmtId="9" fontId="12" fillId="9" borderId="0" xfId="0" applyNumberFormat="1" applyFont="1" applyFill="1"/>
    <xf numFmtId="9" fontId="5" fillId="9" borderId="0" xfId="0" applyNumberFormat="1" applyFont="1" applyFill="1"/>
    <xf numFmtId="9" fontId="0" fillId="9" borderId="0" xfId="0" applyNumberFormat="1" applyFill="1"/>
    <xf numFmtId="0" fontId="6" fillId="9" borderId="0" xfId="0" applyFont="1" applyFill="1"/>
    <xf numFmtId="44" fontId="0" fillId="9" borderId="0" xfId="0" applyNumberFormat="1" applyFill="1"/>
    <xf numFmtId="0" fontId="2" fillId="9" borderId="0" xfId="0" applyFont="1" applyFill="1"/>
    <xf numFmtId="165" fontId="6" fillId="9" borderId="12" xfId="0" applyNumberFormat="1" applyFont="1" applyFill="1" applyBorder="1"/>
    <xf numFmtId="0" fontId="4" fillId="9" borderId="0" xfId="0" applyFont="1" applyFill="1"/>
    <xf numFmtId="165" fontId="12" fillId="9" borderId="0" xfId="0" applyNumberFormat="1" applyFont="1" applyFill="1"/>
    <xf numFmtId="0" fontId="5" fillId="9" borderId="0" xfId="0" quotePrefix="1" applyFont="1" applyFill="1"/>
    <xf numFmtId="10" fontId="12" fillId="9" borderId="0" xfId="0" applyNumberFormat="1" applyFont="1" applyFill="1"/>
    <xf numFmtId="165" fontId="5" fillId="9" borderId="0" xfId="0" applyNumberFormat="1" applyFont="1" applyFill="1"/>
    <xf numFmtId="0" fontId="8" fillId="9" borderId="0" xfId="0" applyFont="1" applyFill="1"/>
    <xf numFmtId="165" fontId="12" fillId="9" borderId="0" xfId="2" applyNumberFormat="1" applyFont="1" applyFill="1"/>
    <xf numFmtId="165" fontId="5" fillId="9" borderId="0" xfId="2" applyNumberFormat="1" applyFont="1" applyFill="1"/>
    <xf numFmtId="10" fontId="6" fillId="9" borderId="0" xfId="0" applyNumberFormat="1" applyFont="1" applyFill="1"/>
    <xf numFmtId="164" fontId="0" fillId="9" borderId="0" xfId="0" applyNumberFormat="1" applyFill="1"/>
    <xf numFmtId="0" fontId="2" fillId="9" borderId="1" xfId="0" applyFont="1" applyFill="1" applyBorder="1"/>
    <xf numFmtId="164" fontId="2" fillId="9" borderId="1" xfId="0" applyNumberFormat="1" applyFont="1" applyFill="1" applyBorder="1"/>
    <xf numFmtId="165" fontId="10" fillId="9" borderId="1" xfId="2" applyNumberFormat="1" applyFont="1" applyFill="1" applyBorder="1"/>
    <xf numFmtId="167" fontId="3" fillId="5" borderId="12" xfId="0" applyNumberFormat="1" applyFont="1" applyFill="1" applyBorder="1"/>
    <xf numFmtId="167" fontId="6" fillId="5" borderId="12" xfId="2" applyNumberFormat="1" applyFont="1" applyFill="1" applyBorder="1"/>
    <xf numFmtId="0" fontId="24" fillId="8" borderId="0" xfId="0" applyFont="1" applyFill="1"/>
    <xf numFmtId="164" fontId="9" fillId="3" borderId="1" xfId="1" applyNumberFormat="1" applyFont="1" applyFill="1" applyBorder="1"/>
    <xf numFmtId="0" fontId="0" fillId="3" borderId="0" xfId="0" applyFill="1"/>
    <xf numFmtId="165" fontId="5" fillId="3" borderId="0" xfId="2" applyNumberFormat="1" applyFont="1" applyFill="1"/>
    <xf numFmtId="0" fontId="2" fillId="3" borderId="0" xfId="0" applyFont="1" applyFill="1" applyAlignment="1">
      <alignment horizontal="left" indent="1"/>
    </xf>
    <xf numFmtId="166" fontId="8" fillId="0" borderId="0" xfId="0" applyNumberFormat="1" applyFont="1"/>
    <xf numFmtId="166" fontId="9" fillId="3" borderId="0" xfId="0" applyNumberFormat="1" applyFont="1" applyFill="1"/>
    <xf numFmtId="164" fontId="9" fillId="3" borderId="0" xfId="0" applyNumberFormat="1" applyFont="1" applyFill="1"/>
    <xf numFmtId="0" fontId="25" fillId="0" borderId="0" xfId="0" applyFont="1"/>
    <xf numFmtId="4" fontId="3" fillId="5" borderId="12" xfId="0" applyNumberFormat="1" applyFont="1" applyFill="1" applyBorder="1"/>
    <xf numFmtId="0" fontId="4" fillId="3" borderId="0" xfId="0" applyFont="1" applyFill="1" applyAlignment="1">
      <alignment horizontal="center"/>
    </xf>
    <xf numFmtId="167" fontId="4" fillId="3" borderId="0" xfId="0" applyNumberFormat="1" applyFont="1" applyFill="1" applyAlignment="1">
      <alignment horizontal="center"/>
    </xf>
    <xf numFmtId="169" fontId="0" fillId="0" borderId="0" xfId="0" applyNumberFormat="1" applyAlignment="1">
      <alignment horizontal="center"/>
    </xf>
    <xf numFmtId="0" fontId="0" fillId="0" borderId="31" xfId="0" applyBorder="1" applyAlignment="1">
      <alignment horizontal="center"/>
    </xf>
    <xf numFmtId="165" fontId="5" fillId="0" borderId="31" xfId="2" applyNumberFormat="1" applyFont="1" applyBorder="1"/>
    <xf numFmtId="0" fontId="19" fillId="7" borderId="0" xfId="0" applyFont="1" applyFill="1" applyAlignment="1">
      <alignment horizontal="centerContinuous"/>
    </xf>
    <xf numFmtId="180" fontId="0" fillId="0" borderId="0" xfId="0" applyNumberFormat="1" applyAlignment="1">
      <alignment horizontal="center"/>
    </xf>
    <xf numFmtId="180" fontId="0" fillId="0" borderId="31" xfId="0" applyNumberFormat="1" applyBorder="1" applyAlignment="1">
      <alignment horizontal="center"/>
    </xf>
    <xf numFmtId="170" fontId="0" fillId="0" borderId="0" xfId="0" applyNumberFormat="1" applyAlignment="1">
      <alignment horizontal="center"/>
    </xf>
    <xf numFmtId="170" fontId="0" fillId="0" borderId="31" xfId="0" applyNumberFormat="1" applyBorder="1" applyAlignment="1">
      <alignment horizontal="center"/>
    </xf>
    <xf numFmtId="0" fontId="4" fillId="3" borderId="0" xfId="0" applyFont="1" applyFill="1" applyAlignment="1">
      <alignment horizontal="center" wrapText="1"/>
    </xf>
    <xf numFmtId="181" fontId="10" fillId="3" borderId="1" xfId="0" applyNumberFormat="1" applyFont="1" applyFill="1" applyBorder="1" applyAlignment="1">
      <alignment horizontal="center"/>
    </xf>
    <xf numFmtId="0" fontId="2" fillId="2" borderId="2" xfId="0" applyFont="1" applyFill="1" applyBorder="1" applyAlignment="1">
      <alignment horizontal="center" vertical="center"/>
    </xf>
    <xf numFmtId="0" fontId="2" fillId="0" borderId="2" xfId="0" applyFont="1" applyBorder="1" applyAlignment="1">
      <alignment horizontal="centerContinuous"/>
    </xf>
    <xf numFmtId="0" fontId="0" fillId="0" borderId="0" xfId="0" applyAlignment="1">
      <alignment horizontal="centerContinuous"/>
    </xf>
    <xf numFmtId="0" fontId="0" fillId="0" borderId="15" xfId="0" applyBorder="1" applyAlignment="1">
      <alignment horizontal="centerContinuous"/>
    </xf>
    <xf numFmtId="0" fontId="0" fillId="0" borderId="16" xfId="0" applyBorder="1" applyAlignment="1">
      <alignment horizontal="centerContinuous"/>
    </xf>
    <xf numFmtId="0" fontId="26" fillId="3" borderId="2" xfId="0" applyFont="1" applyFill="1" applyBorder="1" applyAlignment="1">
      <alignment horizontal="center" vertical="center"/>
    </xf>
    <xf numFmtId="165" fontId="12" fillId="0" borderId="0" xfId="2" applyNumberFormat="1" applyFont="1" applyAlignment="1">
      <alignment horizontal="center"/>
    </xf>
    <xf numFmtId="0" fontId="21" fillId="7" borderId="0" xfId="0" applyFont="1" applyFill="1"/>
    <xf numFmtId="0" fontId="23" fillId="0" borderId="0" xfId="0" applyFont="1" applyAlignment="1">
      <alignment horizontal="centerContinuous"/>
    </xf>
    <xf numFmtId="169" fontId="0" fillId="0" borderId="31" xfId="0" applyNumberFormat="1" applyBorder="1" applyAlignment="1">
      <alignment horizontal="center"/>
    </xf>
    <xf numFmtId="179" fontId="0" fillId="0" borderId="0" xfId="0" applyNumberFormat="1" applyAlignment="1">
      <alignment horizontal="center"/>
    </xf>
    <xf numFmtId="179" fontId="0" fillId="0" borderId="31" xfId="0" applyNumberFormat="1" applyBorder="1" applyAlignment="1">
      <alignment horizontal="center"/>
    </xf>
    <xf numFmtId="170" fontId="12" fillId="0" borderId="0" xfId="2" applyNumberFormat="1" applyFont="1" applyBorder="1"/>
    <xf numFmtId="165" fontId="12" fillId="0" borderId="0" xfId="2" applyNumberFormat="1" applyFont="1" applyFill="1" applyBorder="1"/>
    <xf numFmtId="0" fontId="20" fillId="8" borderId="0" xfId="0" applyFont="1" applyFill="1" applyAlignment="1">
      <alignment horizontal="centerContinuous"/>
    </xf>
    <xf numFmtId="0" fontId="19" fillId="8" borderId="0" xfId="0" applyFont="1" applyFill="1" applyAlignment="1">
      <alignment horizontal="centerContinuous"/>
    </xf>
    <xf numFmtId="0" fontId="4" fillId="10" borderId="0" xfId="0" applyFont="1" applyFill="1"/>
    <xf numFmtId="0" fontId="0" fillId="10" borderId="0" xfId="0" applyFill="1"/>
    <xf numFmtId="0" fontId="4" fillId="10" borderId="0" xfId="0" applyFont="1" applyFill="1" applyAlignment="1">
      <alignment horizontal="center"/>
    </xf>
    <xf numFmtId="0" fontId="2" fillId="3" borderId="0" xfId="0" applyFont="1" applyFill="1" applyAlignment="1">
      <alignment horizontal="left"/>
    </xf>
    <xf numFmtId="0" fontId="0" fillId="0" borderId="0" xfId="0" quotePrefix="1" applyAlignment="1">
      <alignment horizontal="left" indent="1"/>
    </xf>
    <xf numFmtId="0" fontId="4" fillId="3" borderId="0" xfId="0" applyFont="1" applyFill="1"/>
    <xf numFmtId="37" fontId="2" fillId="3" borderId="0" xfId="0" applyNumberFormat="1" applyFont="1" applyFill="1"/>
    <xf numFmtId="0" fontId="4" fillId="0" borderId="1" xfId="0" applyFont="1" applyBorder="1"/>
    <xf numFmtId="0" fontId="4" fillId="0" borderId="1" xfId="0" applyFont="1" applyBorder="1" applyAlignment="1">
      <alignment horizontal="center"/>
    </xf>
    <xf numFmtId="10" fontId="0" fillId="10" borderId="0" xfId="0" applyNumberFormat="1" applyFill="1"/>
    <xf numFmtId="165" fontId="5" fillId="10" borderId="0" xfId="2" applyNumberFormat="1" applyFont="1" applyFill="1"/>
    <xf numFmtId="170" fontId="15" fillId="0" borderId="0" xfId="2" applyNumberFormat="1" applyFont="1" applyFill="1" applyBorder="1" applyAlignment="1">
      <alignment horizontal="right"/>
    </xf>
    <xf numFmtId="171" fontId="5" fillId="0" borderId="0" xfId="0" applyNumberFormat="1" applyFont="1"/>
    <xf numFmtId="165" fontId="6" fillId="5" borderId="17" xfId="2" applyNumberFormat="1" applyFont="1" applyFill="1" applyBorder="1"/>
    <xf numFmtId="0" fontId="0" fillId="0" borderId="8" xfId="0" applyBorder="1" applyAlignment="1">
      <alignment horizontal="left" indent="1"/>
    </xf>
    <xf numFmtId="3" fontId="2" fillId="3" borderId="0" xfId="0" applyNumberFormat="1" applyFont="1" applyFill="1"/>
    <xf numFmtId="182" fontId="0" fillId="0" borderId="0" xfId="0" applyNumberFormat="1" applyAlignment="1">
      <alignment horizontal="center"/>
    </xf>
    <xf numFmtId="182" fontId="0" fillId="0" borderId="31" xfId="0" applyNumberFormat="1" applyBorder="1" applyAlignment="1">
      <alignment horizontal="center"/>
    </xf>
    <xf numFmtId="165" fontId="14" fillId="0" borderId="1" xfId="2" applyNumberFormat="1" applyFont="1" applyBorder="1"/>
    <xf numFmtId="3" fontId="3" fillId="5" borderId="12" xfId="0" applyNumberFormat="1" applyFont="1" applyFill="1" applyBorder="1"/>
    <xf numFmtId="164" fontId="0" fillId="10" borderId="0" xfId="0" applyNumberFormat="1" applyFill="1"/>
    <xf numFmtId="3" fontId="9" fillId="3" borderId="0" xfId="0" applyNumberFormat="1" applyFont="1" applyFill="1"/>
    <xf numFmtId="164" fontId="2" fillId="3" borderId="1" xfId="0" applyNumberFormat="1" applyFont="1" applyFill="1" applyBorder="1"/>
    <xf numFmtId="183" fontId="0" fillId="0" borderId="0" xfId="0" applyNumberFormat="1" applyAlignment="1">
      <alignment horizontal="center"/>
    </xf>
    <xf numFmtId="183" fontId="0" fillId="0" borderId="31" xfId="0" applyNumberFormat="1" applyBorder="1" applyAlignment="1">
      <alignment horizontal="center"/>
    </xf>
    <xf numFmtId="184" fontId="0" fillId="0" borderId="0" xfId="0" applyNumberFormat="1" applyAlignment="1">
      <alignment horizontal="center"/>
    </xf>
    <xf numFmtId="184" fontId="0" fillId="0" borderId="31" xfId="0" applyNumberFormat="1" applyBorder="1" applyAlignment="1">
      <alignment horizontal="center"/>
    </xf>
    <xf numFmtId="184" fontId="2" fillId="0" borderId="0" xfId="0" applyNumberFormat="1" applyFont="1"/>
    <xf numFmtId="171" fontId="0" fillId="0" borderId="0" xfId="2" applyNumberFormat="1" applyFont="1"/>
    <xf numFmtId="169" fontId="3" fillId="5" borderId="12" xfId="0" applyNumberFormat="1" applyFont="1" applyFill="1" applyBorder="1"/>
    <xf numFmtId="185" fontId="3" fillId="5" borderId="12" xfId="0" applyNumberFormat="1" applyFont="1" applyFill="1" applyBorder="1"/>
    <xf numFmtId="4" fontId="0" fillId="0" borderId="0" xfId="0" applyNumberFormat="1"/>
    <xf numFmtId="172" fontId="0" fillId="0" borderId="0" xfId="0" applyNumberFormat="1"/>
    <xf numFmtId="4" fontId="9" fillId="3" borderId="0" xfId="0" applyNumberFormat="1" applyFont="1" applyFill="1"/>
    <xf numFmtId="4" fontId="2" fillId="3" borderId="0" xfId="0" applyNumberFormat="1" applyFont="1" applyFill="1"/>
    <xf numFmtId="167" fontId="0" fillId="0" borderId="0" xfId="0" applyNumberFormat="1" applyAlignment="1">
      <alignment horizontal="right"/>
    </xf>
    <xf numFmtId="168" fontId="9" fillId="0" borderId="0" xfId="1" applyNumberFormat="1" applyFont="1" applyBorder="1"/>
    <xf numFmtId="168" fontId="2" fillId="3" borderId="1" xfId="0" applyNumberFormat="1" applyFont="1" applyFill="1" applyBorder="1"/>
    <xf numFmtId="168" fontId="2" fillId="3" borderId="0" xfId="0" applyNumberFormat="1" applyFont="1" applyFill="1"/>
    <xf numFmtId="164" fontId="27" fillId="0" borderId="0" xfId="0" applyNumberFormat="1" applyFont="1"/>
    <xf numFmtId="0" fontId="28" fillId="4" borderId="0" xfId="0" applyFont="1" applyFill="1" applyAlignment="1">
      <alignment horizontal="centerContinuous"/>
    </xf>
    <xf numFmtId="0" fontId="23" fillId="4" borderId="0" xfId="0" applyFont="1" applyFill="1" applyAlignment="1">
      <alignment horizontal="centerContinuous"/>
    </xf>
    <xf numFmtId="0" fontId="29" fillId="6" borderId="19" xfId="0" applyFont="1" applyFill="1" applyBorder="1" applyAlignment="1">
      <alignment horizontal="center"/>
    </xf>
    <xf numFmtId="0" fontId="29" fillId="6" borderId="20" xfId="0" applyFont="1" applyFill="1" applyBorder="1" applyAlignment="1">
      <alignment horizontal="center"/>
    </xf>
    <xf numFmtId="0" fontId="29" fillId="6" borderId="18" xfId="0" applyFont="1" applyFill="1" applyBorder="1" applyAlignment="1">
      <alignment horizontal="center"/>
    </xf>
    <xf numFmtId="0" fontId="30" fillId="3" borderId="30" xfId="0" applyFont="1" applyFill="1" applyBorder="1" applyAlignment="1">
      <alignment horizontal="left"/>
    </xf>
    <xf numFmtId="0" fontId="31" fillId="5" borderId="29" xfId="0" applyFont="1" applyFill="1" applyBorder="1" applyAlignment="1">
      <alignment horizontal="left"/>
    </xf>
    <xf numFmtId="0" fontId="30" fillId="5" borderId="12" xfId="0" applyFont="1" applyFill="1" applyBorder="1" applyAlignment="1">
      <alignment horizontal="left"/>
    </xf>
    <xf numFmtId="0" fontId="10" fillId="4" borderId="0" xfId="0" applyFont="1" applyFill="1" applyAlignment="1">
      <alignment vertical="top" wrapText="1"/>
    </xf>
    <xf numFmtId="0" fontId="28" fillId="0" borderId="2" xfId="0" applyFont="1" applyBorder="1" applyAlignment="1">
      <alignment horizontal="centerContinuous"/>
    </xf>
    <xf numFmtId="0" fontId="8" fillId="0" borderId="0" xfId="0" applyFont="1"/>
    <xf numFmtId="0" fontId="8" fillId="0" borderId="8" xfId="0" applyFont="1" applyBorder="1"/>
    <xf numFmtId="0" fontId="9" fillId="0" borderId="14" xfId="0" applyFont="1" applyBorder="1" applyAlignment="1">
      <alignment horizontal="centerContinuous" vertical="center"/>
    </xf>
    <xf numFmtId="0" fontId="32" fillId="0" borderId="8" xfId="0" applyFont="1" applyBorder="1"/>
    <xf numFmtId="0" fontId="22" fillId="0" borderId="8" xfId="0" applyFont="1" applyBorder="1"/>
    <xf numFmtId="0" fontId="0" fillId="0" borderId="8" xfId="0" applyBorder="1" applyAlignment="1">
      <alignment horizontal="centerContinuous"/>
    </xf>
    <xf numFmtId="167" fontId="12" fillId="0" borderId="0" xfId="2" applyNumberFormat="1" applyFont="1" applyAlignment="1">
      <alignment horizontal="center"/>
    </xf>
    <xf numFmtId="0" fontId="0" fillId="0" borderId="16" xfId="0" applyBorder="1"/>
    <xf numFmtId="0" fontId="2" fillId="0" borderId="2" xfId="0" applyFont="1" applyBorder="1" applyAlignment="1">
      <alignment horizontal="left" vertical="center"/>
    </xf>
    <xf numFmtId="0" fontId="2" fillId="0" borderId="14" xfId="0" applyFont="1" applyBorder="1" applyAlignment="1">
      <alignment horizontal="left" vertical="center"/>
    </xf>
    <xf numFmtId="186" fontId="0" fillId="0" borderId="0" xfId="0" applyNumberFormat="1" applyAlignment="1">
      <alignment horizontal="center"/>
    </xf>
    <xf numFmtId="186" fontId="0" fillId="0" borderId="31" xfId="0" applyNumberFormat="1" applyBorder="1" applyAlignment="1">
      <alignment horizontal="center"/>
    </xf>
    <xf numFmtId="0" fontId="2" fillId="0" borderId="2" xfId="0" applyFont="1" applyBorder="1" applyAlignment="1">
      <alignment horizontal="centerContinuous" vertical="center"/>
    </xf>
    <xf numFmtId="0" fontId="26" fillId="3" borderId="16" xfId="0" applyFont="1" applyFill="1" applyBorder="1" applyAlignment="1">
      <alignment horizontal="center" vertical="center"/>
    </xf>
    <xf numFmtId="0" fontId="2" fillId="0" borderId="14" xfId="0" applyFont="1" applyBorder="1" applyAlignment="1">
      <alignment horizontal="centerContinuous" vertical="center"/>
    </xf>
    <xf numFmtId="0" fontId="0" fillId="0" borderId="15" xfId="0" applyBorder="1"/>
    <xf numFmtId="187" fontId="0" fillId="0" borderId="0" xfId="0" applyNumberFormat="1" applyAlignment="1">
      <alignment horizontal="center"/>
    </xf>
    <xf numFmtId="187" fontId="0" fillId="0" borderId="31" xfId="0" applyNumberFormat="1" applyBorder="1" applyAlignment="1">
      <alignment horizontal="center"/>
    </xf>
    <xf numFmtId="164" fontId="15" fillId="0" borderId="0" xfId="0" applyNumberFormat="1" applyFont="1"/>
    <xf numFmtId="165" fontId="15" fillId="0" borderId="0" xfId="2" applyNumberFormat="1" applyFont="1" applyFill="1"/>
    <xf numFmtId="3" fontId="15" fillId="0" borderId="0" xfId="2" applyNumberFormat="1" applyFont="1" applyFill="1"/>
    <xf numFmtId="188" fontId="0" fillId="0" borderId="0" xfId="0" applyNumberFormat="1" applyAlignment="1">
      <alignment horizontal="center"/>
    </xf>
    <xf numFmtId="188" fontId="0" fillId="0" borderId="31" xfId="0" applyNumberFormat="1" applyBorder="1" applyAlignment="1">
      <alignment horizontal="center"/>
    </xf>
    <xf numFmtId="188" fontId="0" fillId="0" borderId="0" xfId="0" applyNumberFormat="1"/>
    <xf numFmtId="188" fontId="15" fillId="0" borderId="0" xfId="2" applyNumberFormat="1" applyFont="1" applyBorder="1"/>
    <xf numFmtId="189" fontId="0" fillId="0" borderId="0" xfId="0" applyNumberFormat="1" applyAlignment="1">
      <alignment horizontal="center"/>
    </xf>
    <xf numFmtId="189" fontId="0" fillId="0" borderId="31" xfId="0" applyNumberFormat="1" applyBorder="1" applyAlignment="1">
      <alignment horizontal="center"/>
    </xf>
    <xf numFmtId="189" fontId="0" fillId="0" borderId="0" xfId="0" applyNumberFormat="1"/>
    <xf numFmtId="189" fontId="15" fillId="0" borderId="0" xfId="2" applyNumberFormat="1" applyFont="1" applyBorder="1"/>
    <xf numFmtId="0" fontId="28" fillId="0" borderId="8" xfId="0" applyFont="1" applyBorder="1"/>
    <xf numFmtId="0" fontId="33" fillId="0" borderId="8" xfId="0" applyFont="1" applyBorder="1"/>
    <xf numFmtId="0" fontId="34" fillId="0" borderId="8" xfId="0" applyFont="1" applyBorder="1"/>
    <xf numFmtId="0" fontId="37" fillId="3" borderId="2" xfId="3" applyFont="1" applyFill="1" applyBorder="1" applyAlignment="1">
      <alignment horizontal="center" vertical="center"/>
    </xf>
    <xf numFmtId="190" fontId="0" fillId="9" borderId="0" xfId="0" applyNumberFormat="1" applyFill="1"/>
    <xf numFmtId="0" fontId="38" fillId="11" borderId="0" xfId="0" applyFont="1" applyFill="1" applyAlignment="1">
      <alignment horizontal="centerContinuous"/>
    </xf>
    <xf numFmtId="0" fontId="36" fillId="0" borderId="0" xfId="0" applyFont="1" applyAlignment="1">
      <alignment horizontal="left" wrapText="1"/>
    </xf>
    <xf numFmtId="0" fontId="0" fillId="3" borderId="32" xfId="0" applyFill="1" applyBorder="1" applyAlignment="1">
      <alignment horizontal="center" vertical="center" wrapText="1"/>
    </xf>
    <xf numFmtId="0" fontId="0" fillId="3" borderId="4" xfId="0" applyFill="1" applyBorder="1" applyAlignment="1">
      <alignment horizontal="center" vertical="center" wrapText="1"/>
    </xf>
    <xf numFmtId="0" fontId="0" fillId="3" borderId="3" xfId="0" applyFill="1" applyBorder="1" applyAlignment="1">
      <alignment horizontal="center" vertical="center" wrapText="1"/>
    </xf>
    <xf numFmtId="0" fontId="0" fillId="3" borderId="6" xfId="0" applyFill="1" applyBorder="1" applyAlignment="1">
      <alignment horizontal="center" vertical="center" wrapText="1"/>
    </xf>
    <xf numFmtId="0" fontId="0" fillId="3" borderId="5" xfId="0" applyFill="1" applyBorder="1" applyAlignment="1">
      <alignment horizontal="center" vertical="center" wrapText="1"/>
    </xf>
    <xf numFmtId="0" fontId="0" fillId="3" borderId="7" xfId="0" applyFill="1" applyBorder="1" applyAlignment="1">
      <alignment horizontal="center" vertical="center" wrapText="1"/>
    </xf>
    <xf numFmtId="0" fontId="5" fillId="0" borderId="0" xfId="0" applyFont="1" applyAlignment="1">
      <alignment horizontal="center" vertical="center" wrapText="1"/>
    </xf>
    <xf numFmtId="0" fontId="5" fillId="3" borderId="14" xfId="0" applyFont="1" applyFill="1" applyBorder="1" applyAlignment="1">
      <alignment horizontal="center" vertical="center"/>
    </xf>
    <xf numFmtId="0" fontId="5" fillId="3" borderId="16" xfId="0" applyFont="1" applyFill="1" applyBorder="1" applyAlignment="1">
      <alignment horizontal="center" vertical="center"/>
    </xf>
    <xf numFmtId="0" fontId="0" fillId="5" borderId="32" xfId="0" applyFill="1" applyBorder="1" applyAlignment="1">
      <alignment horizontal="center" vertical="center" wrapText="1"/>
    </xf>
    <xf numFmtId="0" fontId="0" fillId="5" borderId="1" xfId="0" applyFill="1" applyBorder="1" applyAlignment="1">
      <alignment horizontal="center" vertical="center" wrapText="1"/>
    </xf>
    <xf numFmtId="0" fontId="0" fillId="5" borderId="9" xfId="0" applyFill="1" applyBorder="1" applyAlignment="1">
      <alignment horizontal="center" vertical="center" wrapText="1"/>
    </xf>
    <xf numFmtId="0" fontId="0" fillId="5" borderId="5" xfId="0" applyFill="1" applyBorder="1" applyAlignment="1">
      <alignment horizontal="center" vertical="center" wrapText="1"/>
    </xf>
    <xf numFmtId="0" fontId="0" fillId="5" borderId="8" xfId="0" applyFill="1" applyBorder="1" applyAlignment="1">
      <alignment horizontal="center" vertical="center" wrapText="1"/>
    </xf>
    <xf numFmtId="0" fontId="0" fillId="5" borderId="11" xfId="0" applyFill="1" applyBorder="1" applyAlignment="1">
      <alignment horizontal="center" vertical="center" wrapText="1"/>
    </xf>
    <xf numFmtId="0" fontId="19" fillId="7" borderId="0" xfId="0" applyFont="1" applyFill="1" applyAlignment="1">
      <alignment horizontal="center"/>
    </xf>
    <xf numFmtId="0" fontId="21" fillId="7" borderId="0" xfId="0" applyFont="1" applyFill="1" applyAlignment="1">
      <alignment horizontal="center"/>
    </xf>
    <xf numFmtId="0" fontId="19" fillId="8" borderId="0" xfId="0" applyFont="1" applyFill="1" applyAlignment="1">
      <alignment horizontal="center"/>
    </xf>
    <xf numFmtId="167" fontId="4" fillId="3" borderId="0" xfId="0" applyNumberFormat="1" applyFont="1" applyFill="1" applyAlignment="1">
      <alignment horizontal="center" wrapText="1"/>
    </xf>
    <xf numFmtId="0" fontId="4" fillId="3" borderId="0" xfId="0" applyFont="1" applyFill="1" applyAlignment="1">
      <alignment horizontal="center" wrapText="1"/>
    </xf>
    <xf numFmtId="167" fontId="4" fillId="3" borderId="0" xfId="0" quotePrefix="1" applyNumberFormat="1" applyFont="1" applyFill="1" applyAlignment="1">
      <alignment horizontal="center" wrapText="1"/>
    </xf>
    <xf numFmtId="0" fontId="4" fillId="0" borderId="0" xfId="0" applyFont="1" applyAlignment="1">
      <alignment horizontal="center"/>
    </xf>
  </cellXfs>
  <cellStyles count="4">
    <cellStyle name="Currency" xfId="1" builtinId="4"/>
    <cellStyle name="Hyperlink" xfId="3" builtinId="8"/>
    <cellStyle name="Normal" xfId="0" builtinId="0"/>
    <cellStyle name="Percent" xfId="2" builtinId="5"/>
  </cellStyles>
  <dxfs count="6">
    <dxf>
      <font>
        <u/>
      </font>
      <fill>
        <patternFill>
          <bgColor theme="9" tint="0.79998168889431442"/>
        </patternFill>
      </fill>
    </dxf>
    <dxf>
      <font>
        <u/>
      </font>
      <fill>
        <patternFill>
          <bgColor theme="9" tint="0.79998168889431442"/>
        </patternFill>
      </fill>
    </dxf>
    <dxf>
      <font>
        <u/>
      </font>
      <fill>
        <patternFill>
          <bgColor theme="9" tint="0.79998168889431442"/>
        </patternFill>
      </fill>
    </dxf>
    <dxf>
      <font>
        <u/>
      </font>
      <fill>
        <patternFill>
          <bgColor theme="9" tint="0.79998168889431442"/>
        </patternFill>
      </fill>
    </dxf>
    <dxf>
      <font>
        <u/>
      </font>
      <fill>
        <patternFill>
          <bgColor theme="9" tint="0.79998168889431442"/>
        </patternFill>
      </fill>
    </dxf>
    <dxf>
      <font>
        <u/>
      </font>
      <fill>
        <patternFill>
          <bgColor theme="9" tint="0.79998168889431442"/>
        </patternFill>
      </fill>
    </dxf>
  </dxfs>
  <tableStyles count="0" defaultTableStyle="TableStyleMedium2" defaultPivotStyle="PivotStyleLight16"/>
  <colors>
    <mruColors>
      <color rgb="FFFFAC00"/>
      <color rgb="FFFFFFCC"/>
      <color rgb="FFF7931A"/>
      <color rgb="FFF3AD24"/>
      <color rgb="FF15256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2024-2045 BTC</a:t>
            </a:r>
            <a:r>
              <a:rPr lang="en-US" b="1" baseline="0">
                <a:solidFill>
                  <a:sysClr val="windowText" lastClr="000000"/>
                </a:solidFill>
              </a:rPr>
              <a:t> Forecast</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1.2970627861731854E-2"/>
          <c:y val="6.6178730031331026E-2"/>
          <c:w val="0.98424107702101227"/>
          <c:h val="0.82892685993521831"/>
        </c:manualLayout>
      </c:layout>
      <c:barChart>
        <c:barDir val="col"/>
        <c:grouping val="clustered"/>
        <c:varyColors val="0"/>
        <c:ser>
          <c:idx val="0"/>
          <c:order val="0"/>
          <c:tx>
            <c:strRef>
              <c:f>BTC!$C$13</c:f>
              <c:strCache>
                <c:ptCount val="1"/>
                <c:pt idx="0">
                  <c:v>BTC Price ($M)</c:v>
                </c:pt>
              </c:strCache>
            </c:strRef>
          </c:tx>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BTC!$B$14:$B$35</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BTC!$C$14:$C$35</c:f>
              <c:numCache>
                <c:formatCode>"$"#,##0.00</c:formatCode>
                <c:ptCount val="22"/>
                <c:pt idx="0">
                  <c:v>6.5000000000000002E-2</c:v>
                </c:pt>
                <c:pt idx="1">
                  <c:v>9.7500000000000003E-2</c:v>
                </c:pt>
                <c:pt idx="2">
                  <c:v>0.14381250000000001</c:v>
                </c:pt>
                <c:pt idx="3">
                  <c:v>0.20852812499999998</c:v>
                </c:pt>
                <c:pt idx="4">
                  <c:v>0.29715257812499996</c:v>
                </c:pt>
                <c:pt idx="5">
                  <c:v>0.41601360937499987</c:v>
                </c:pt>
                <c:pt idx="6" formatCode="&quot;$&quot;#,##0.0">
                  <c:v>0.57201871289062478</c:v>
                </c:pt>
                <c:pt idx="7" formatCode="&quot;$&quot;#,##0.0">
                  <c:v>0.77222526240234335</c:v>
                </c:pt>
                <c:pt idx="8" formatCode="&quot;$&quot;#,##0.0">
                  <c:v>1.0231984726831047</c:v>
                </c:pt>
                <c:pt idx="9" formatCode="&quot;$&quot;#,##0.0">
                  <c:v>1.3301580144880358</c:v>
                </c:pt>
                <c:pt idx="10" formatCode="&quot;$&quot;#,##0.0">
                  <c:v>1.6959514684722456</c:v>
                </c:pt>
                <c:pt idx="11" formatCode="&quot;$&quot;#,##0.0">
                  <c:v>2.1199393355903067</c:v>
                </c:pt>
                <c:pt idx="12" formatCode="&quot;$&quot;#,##0.0">
                  <c:v>2.5969256860981256</c:v>
                </c:pt>
                <c:pt idx="13" formatCode="&quot;$&quot;#,##0.0">
                  <c:v>3.1163108233177503</c:v>
                </c:pt>
                <c:pt idx="14" formatCode="&quot;$&quot;#,##0.0">
                  <c:v>3.7395729879813002</c:v>
                </c:pt>
                <c:pt idx="15" formatCode="&quot;$&quot;#,##0.0">
                  <c:v>4.4874875855775596</c:v>
                </c:pt>
                <c:pt idx="16" formatCode="&quot;$&quot;#,##0.0">
                  <c:v>5.3849851026930722</c:v>
                </c:pt>
                <c:pt idx="17" formatCode="&quot;$&quot;#,##0.0">
                  <c:v>6.4619821232316861</c:v>
                </c:pt>
                <c:pt idx="18" formatCode="&quot;$&quot;#,##0.0">
                  <c:v>7.7543785478780229</c:v>
                </c:pt>
                <c:pt idx="19" formatCode="&quot;$&quot;#,##0.0">
                  <c:v>9.3052542574536279</c:v>
                </c:pt>
                <c:pt idx="20" formatCode="&quot;$&quot;#,##0.0">
                  <c:v>11.166305108944352</c:v>
                </c:pt>
                <c:pt idx="21" formatCode="&quot;$&quot;#,##0.0">
                  <c:v>13.399566130733223</c:v>
                </c:pt>
              </c:numCache>
            </c:numRef>
          </c:val>
          <c:extLst>
            <c:ext xmlns:c16="http://schemas.microsoft.com/office/drawing/2014/chart" uri="{C3380CC4-5D6E-409C-BE32-E72D297353CC}">
              <c16:uniqueId val="{00000000-BE2D-4487-AF02-D03798B89D6D}"/>
            </c:ext>
          </c:extLst>
        </c:ser>
        <c:dLbls>
          <c:showLegendKey val="0"/>
          <c:showVal val="0"/>
          <c:showCatName val="0"/>
          <c:showSerName val="0"/>
          <c:showPercent val="0"/>
          <c:showBubbleSize val="0"/>
        </c:dLbls>
        <c:gapWidth val="219"/>
        <c:overlap val="-27"/>
        <c:axId val="669039232"/>
        <c:axId val="669039712"/>
      </c:barChart>
      <c:lineChart>
        <c:grouping val="standard"/>
        <c:varyColors val="0"/>
        <c:ser>
          <c:idx val="1"/>
          <c:order val="1"/>
          <c:tx>
            <c:v>Annual Growth Rate</c:v>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BTC!$B$13</c:f>
              <c:strCache>
                <c:ptCount val="1"/>
                <c:pt idx="0">
                  <c:v>Year</c:v>
                </c:pt>
              </c:strCache>
            </c:strRef>
          </c:cat>
          <c:val>
            <c:numRef>
              <c:f>BTC!$D$14:$D$35</c:f>
              <c:numCache>
                <c:formatCode>0.0%</c:formatCode>
                <c:ptCount val="22"/>
                <c:pt idx="1">
                  <c:v>0.5</c:v>
                </c:pt>
                <c:pt idx="2">
                  <c:v>0.47500000000000009</c:v>
                </c:pt>
                <c:pt idx="3">
                  <c:v>0.44999999999999973</c:v>
                </c:pt>
                <c:pt idx="4">
                  <c:v>0.42499999999999982</c:v>
                </c:pt>
                <c:pt idx="5">
                  <c:v>0.39999999999999969</c:v>
                </c:pt>
                <c:pt idx="6">
                  <c:v>0.375</c:v>
                </c:pt>
                <c:pt idx="7">
                  <c:v>0.34999999999999987</c:v>
                </c:pt>
                <c:pt idx="8">
                  <c:v>0.32499999999999973</c:v>
                </c:pt>
                <c:pt idx="9">
                  <c:v>0.29999999999999982</c:v>
                </c:pt>
                <c:pt idx="10">
                  <c:v>0.27499999999999991</c:v>
                </c:pt>
                <c:pt idx="11">
                  <c:v>0.24999999999999978</c:v>
                </c:pt>
                <c:pt idx="12">
                  <c:v>0.22499999999999987</c:v>
                </c:pt>
                <c:pt idx="13">
                  <c:v>0.19999999999999996</c:v>
                </c:pt>
                <c:pt idx="14">
                  <c:v>0.19999999999999996</c:v>
                </c:pt>
                <c:pt idx="15">
                  <c:v>0.19999999999999973</c:v>
                </c:pt>
                <c:pt idx="16">
                  <c:v>0.20000000000000018</c:v>
                </c:pt>
                <c:pt idx="17">
                  <c:v>0.19999999999999996</c:v>
                </c:pt>
                <c:pt idx="18">
                  <c:v>0.19999999999999996</c:v>
                </c:pt>
                <c:pt idx="19">
                  <c:v>0.19999999999999996</c:v>
                </c:pt>
                <c:pt idx="20">
                  <c:v>0.19999999999999973</c:v>
                </c:pt>
                <c:pt idx="21">
                  <c:v>0.20000000000000018</c:v>
                </c:pt>
              </c:numCache>
            </c:numRef>
          </c:val>
          <c:smooth val="0"/>
          <c:extLst>
            <c:ext xmlns:c16="http://schemas.microsoft.com/office/drawing/2014/chart" uri="{C3380CC4-5D6E-409C-BE32-E72D297353CC}">
              <c16:uniqueId val="{00000001-BE2D-4487-AF02-D03798B89D6D}"/>
            </c:ext>
          </c:extLst>
        </c:ser>
        <c:dLbls>
          <c:showLegendKey val="0"/>
          <c:showVal val="0"/>
          <c:showCatName val="0"/>
          <c:showSerName val="0"/>
          <c:showPercent val="0"/>
          <c:showBubbleSize val="0"/>
        </c:dLbls>
        <c:marker val="1"/>
        <c:smooth val="0"/>
        <c:axId val="669031072"/>
        <c:axId val="66902963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100"/>
        <c:noMultiLvlLbl val="0"/>
      </c:catAx>
      <c:valAx>
        <c:axId val="669039712"/>
        <c:scaling>
          <c:orientation val="minMax"/>
        </c:scaling>
        <c:delete val="0"/>
        <c:axPos val="l"/>
        <c:numFmt formatCode="&quot;$&quot;#,##0&quot;M&quot;"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669029632"/>
        <c:scaling>
          <c:orientation val="minMax"/>
        </c:scaling>
        <c:delete val="0"/>
        <c:axPos val="r"/>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031072"/>
        <c:crosses val="max"/>
        <c:crossBetween val="between"/>
      </c:valAx>
      <c:catAx>
        <c:axId val="669031072"/>
        <c:scaling>
          <c:orientation val="minMax"/>
        </c:scaling>
        <c:delete val="1"/>
        <c:axPos val="b"/>
        <c:numFmt formatCode="General" sourceLinked="1"/>
        <c:majorTickMark val="none"/>
        <c:minorTickMark val="none"/>
        <c:tickLblPos val="nextTo"/>
        <c:crossAx val="66902963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US" sz="1200" b="1">
                <a:solidFill>
                  <a:sysClr val="windowText" lastClr="000000"/>
                </a:solidFill>
              </a:rPr>
              <a:t>Bitcoin Market</a:t>
            </a:r>
            <a:r>
              <a:rPr lang="en-US" sz="1200" b="1" baseline="0">
                <a:solidFill>
                  <a:sysClr val="windowText" lastClr="000000"/>
                </a:solidFill>
              </a:rPr>
              <a:t> Cap in 2045 </a:t>
            </a:r>
            <a:r>
              <a:rPr lang="en-US" sz="1200" b="1">
                <a:solidFill>
                  <a:sysClr val="windowText" lastClr="000000"/>
                </a:solidFill>
              </a:rPr>
              <a:t>($T)</a:t>
            </a:r>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1"/>
          <c:order val="0"/>
          <c:tx>
            <c:strRef>
              <c:f>BTC!$J$7</c:f>
              <c:strCache>
                <c:ptCount val="1"/>
                <c:pt idx="0">
                  <c:v>BTC Mkt Cap ($T)</c:v>
                </c:pt>
              </c:strCache>
            </c:strRef>
          </c:tx>
          <c:spPr>
            <a:solidFill>
              <a:srgbClr val="F7931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BTC!$K$5:$N$5</c:f>
              <c:strCache>
                <c:ptCount val="3"/>
                <c:pt idx="0">
                  <c:v>Bear</c:v>
                </c:pt>
                <c:pt idx="1">
                  <c:v>Base</c:v>
                </c:pt>
                <c:pt idx="2">
                  <c:v>Bull</c:v>
                </c:pt>
              </c:strCache>
            </c:strRef>
          </c:cat>
          <c:val>
            <c:numRef>
              <c:f>BTC!$K$7:$N$7</c:f>
              <c:numCache>
                <c:formatCode>_("$"* #,##0"T"_);_("$"* \(#,##0\);_("$"* "-"??_);_(@_)</c:formatCode>
                <c:ptCount val="3"/>
                <c:pt idx="0">
                  <c:v>68.135996506294546</c:v>
                </c:pt>
                <c:pt idx="1">
                  <c:v>280.96210262921426</c:v>
                </c:pt>
                <c:pt idx="2">
                  <c:v>1032.2087126748615</c:v>
                </c:pt>
              </c:numCache>
            </c:numRef>
          </c:val>
          <c:extLst>
            <c:ext xmlns:c16="http://schemas.microsoft.com/office/drawing/2014/chart" uri="{C3380CC4-5D6E-409C-BE32-E72D297353CC}">
              <c16:uniqueId val="{00000000-BB27-4AA3-AC92-7B43B0E86E6F}"/>
            </c:ext>
          </c:extLst>
        </c:ser>
        <c:dLbls>
          <c:showLegendKey val="0"/>
          <c:showVal val="0"/>
          <c:showCatName val="0"/>
          <c:showSerName val="0"/>
          <c:showPercent val="0"/>
          <c:showBubbleSize val="0"/>
        </c:dLbls>
        <c:gapWidth val="219"/>
        <c:overlap val="-27"/>
        <c:axId val="2096938576"/>
        <c:axId val="2096937136"/>
      </c:barChart>
      <c:catAx>
        <c:axId val="209693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2096937136"/>
        <c:crosses val="autoZero"/>
        <c:auto val="1"/>
        <c:lblAlgn val="ctr"/>
        <c:lblOffset val="100"/>
        <c:noMultiLvlLbl val="0"/>
      </c:catAx>
      <c:valAx>
        <c:axId val="2096937136"/>
        <c:scaling>
          <c:orientation val="minMax"/>
        </c:scaling>
        <c:delete val="1"/>
        <c:axPos val="l"/>
        <c:numFmt formatCode="_(&quot;$&quot;* #,##0&quot;T&quot;_);_(&quot;$&quot;* \(#,##0\);_(&quot;$&quot;* &quot;-&quot;??_);_(@_)" sourceLinked="1"/>
        <c:majorTickMark val="none"/>
        <c:minorTickMark val="none"/>
        <c:tickLblPos val="nextTo"/>
        <c:crossAx val="209693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r>
              <a:rPr lang="en-US" sz="1400" b="1" baseline="0"/>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909263901075672"/>
          <c:h val="0.7975842014533655"/>
        </c:manualLayout>
      </c:layout>
      <c:barChart>
        <c:barDir val="col"/>
        <c:grouping val="clustered"/>
        <c:varyColors val="0"/>
        <c:ser>
          <c:idx val="0"/>
          <c:order val="0"/>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Individual!$B$66:$B$70</c:f>
              <c:strCache>
                <c:ptCount val="5"/>
                <c:pt idx="0">
                  <c:v>Normie</c:v>
                </c:pt>
                <c:pt idx="1">
                  <c:v>BTC 10%</c:v>
                </c:pt>
                <c:pt idx="2">
                  <c:v>BTC Maxi</c:v>
                </c:pt>
                <c:pt idx="3">
                  <c:v>Double Maxi</c:v>
                </c:pt>
                <c:pt idx="4">
                  <c:v>Triple Maxi</c:v>
                </c:pt>
              </c:strCache>
            </c:strRef>
          </c:cat>
          <c:val>
            <c:numRef>
              <c:f>Individual!$C$66:$C$70</c:f>
              <c:numCache>
                <c:formatCode>_("$"* #,##0"M"_);_("$"* \(#,##0"M"\);_("$"* "-"??_);_(@_)</c:formatCode>
                <c:ptCount val="5"/>
                <c:pt idx="0">
                  <c:v>6.5048164465026801</c:v>
                </c:pt>
                <c:pt idx="1">
                  <c:v>19.160762026075282</c:v>
                </c:pt>
                <c:pt idx="2">
                  <c:v>107.75238108308346</c:v>
                </c:pt>
                <c:pt idx="3">
                  <c:v>158.48442332368464</c:v>
                </c:pt>
                <c:pt idx="4">
                  <c:v>213.2258302125592</c:v>
                </c:pt>
              </c:numCache>
            </c:numRef>
          </c:val>
          <c:extLst>
            <c:ext xmlns:c16="http://schemas.microsoft.com/office/drawing/2014/chart" uri="{C3380CC4-5D6E-409C-BE32-E72D297353CC}">
              <c16:uniqueId val="{00000000-16E8-4979-BCB3-65FF2C4540B4}"/>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quot;M&quot;_);_(&quot;$&quot;* \(#,##0&quot;M&quot;\);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982917190469071E-3"/>
          <c:y val="7.4638464201838714E-2"/>
          <c:w val="0.97732148045648815"/>
          <c:h val="0.80572706532539329"/>
        </c:manualLayout>
      </c:layout>
      <c:barChart>
        <c:barDir val="col"/>
        <c:grouping val="clustered"/>
        <c:varyColors val="0"/>
        <c:ser>
          <c:idx val="1"/>
          <c:order val="0"/>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Individual!$B$66:$B$70</c:f>
              <c:strCache>
                <c:ptCount val="5"/>
                <c:pt idx="0">
                  <c:v>Normie</c:v>
                </c:pt>
                <c:pt idx="1">
                  <c:v>BTC 10%</c:v>
                </c:pt>
                <c:pt idx="2">
                  <c:v>BTC Maxi</c:v>
                </c:pt>
                <c:pt idx="3">
                  <c:v>Double Maxi</c:v>
                </c:pt>
                <c:pt idx="4">
                  <c:v>Triple Maxi</c:v>
                </c:pt>
              </c:strCache>
            </c:strRef>
          </c:cat>
          <c:val>
            <c:numRef>
              <c:f>Individual!$E$66:$E$70</c:f>
              <c:numCache>
                <c:formatCode>0.0</c:formatCode>
                <c:ptCount val="5"/>
                <c:pt idx="0">
                  <c:v>0</c:v>
                </c:pt>
                <c:pt idx="1">
                  <c:v>0.98805319617612719</c:v>
                </c:pt>
                <c:pt idx="2">
                  <c:v>7.9044255694090175</c:v>
                </c:pt>
                <c:pt idx="3">
                  <c:v>11.803608884838194</c:v>
                </c:pt>
                <c:pt idx="4">
                  <c:v>15.914910077368692</c:v>
                </c:pt>
              </c:numCache>
            </c:numRef>
          </c:val>
          <c:extLst>
            <c:ext xmlns:c16="http://schemas.microsoft.com/office/drawing/2014/chart" uri="{C3380CC4-5D6E-409C-BE32-E72D297353CC}">
              <c16:uniqueId val="{00000001-C17B-4F54-A00A-00A9B07C1592}"/>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2024-2045 </a:t>
            </a:r>
            <a:r>
              <a:rPr lang="en-US" b="1" baseline="0">
                <a:solidFill>
                  <a:sysClr val="windowText" lastClr="000000"/>
                </a:solidFill>
              </a:rPr>
              <a:t>Forecast</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
          <c:y val="0.10070267569791744"/>
          <c:w val="1"/>
          <c:h val="0.7998130351901791"/>
        </c:manualLayout>
      </c:layout>
      <c:barChart>
        <c:barDir val="col"/>
        <c:grouping val="clustered"/>
        <c:varyColors val="0"/>
        <c:ser>
          <c:idx val="2"/>
          <c:order val="1"/>
          <c:tx>
            <c:strRef>
              <c:f>Individual!$AN$4</c:f>
              <c:strCache>
                <c:ptCount val="1"/>
                <c:pt idx="0">
                  <c:v>Net Assets</c:v>
                </c:pt>
              </c:strCache>
            </c:strRef>
          </c:tx>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Individual!$AK$5:$AK$26</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Individual!$AN$5:$AN$26</c:f>
              <c:numCache>
                <c:formatCode>"$"#,##0"M"</c:formatCode>
                <c:ptCount val="22"/>
                <c:pt idx="0">
                  <c:v>0.75</c:v>
                </c:pt>
                <c:pt idx="1">
                  <c:v>1.2295098039215686</c:v>
                </c:pt>
                <c:pt idx="2">
                  <c:v>1.9234710688196848</c:v>
                </c:pt>
                <c:pt idx="3">
                  <c:v>2.9046676898402577</c:v>
                </c:pt>
                <c:pt idx="4">
                  <c:v>4.2607436366461506</c:v>
                </c:pt>
                <c:pt idx="5">
                  <c:v>6.0928689699376282</c:v>
                </c:pt>
                <c:pt idx="6">
                  <c:v>8.5120481125663101</c:v>
                </c:pt>
                <c:pt idx="7">
                  <c:v>11.632445261559294</c:v>
                </c:pt>
                <c:pt idx="8">
                  <c:v>15.561311270811526</c:v>
                </c:pt>
                <c:pt idx="9">
                  <c:v>20.385493633409794</c:v>
                </c:pt>
                <c:pt idx="10">
                  <c:v>26.155100883081133</c:v>
                </c:pt>
                <c:pt idx="11">
                  <c:v>32.865633521621348</c:v>
                </c:pt>
                <c:pt idx="12">
                  <c:v>40.440686779773706</c:v>
                </c:pt>
                <c:pt idx="13">
                  <c:v>48.718019938387087</c:v>
                </c:pt>
                <c:pt idx="14">
                  <c:v>58.660410948597274</c:v>
                </c:pt>
                <c:pt idx="15">
                  <c:v>70.601357384351701</c:v>
                </c:pt>
                <c:pt idx="16">
                  <c:v>84.941080950384148</c:v>
                </c:pt>
                <c:pt idx="17">
                  <c:v>102.15987355465288</c:v>
                </c:pt>
                <c:pt idx="18">
                  <c:v>122.83411265833955</c:v>
                </c:pt>
                <c:pt idx="19">
                  <c:v>147.65547976211161</c:v>
                </c:pt>
                <c:pt idx="20">
                  <c:v>177.45402265925307</c:v>
                </c:pt>
                <c:pt idx="21">
                  <c:v>213.2258302125592</c:v>
                </c:pt>
              </c:numCache>
            </c:numRef>
          </c:val>
          <c:extLst>
            <c:ext xmlns:c16="http://schemas.microsoft.com/office/drawing/2014/chart" uri="{C3380CC4-5D6E-409C-BE32-E72D297353CC}">
              <c16:uniqueId val="{00000000-2C0C-442B-BEB9-0070AD13B434}"/>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Individual!$AO$4</c:f>
              <c:strCache>
                <c:ptCount val="1"/>
                <c:pt idx="0">
                  <c:v>BTC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Individual!$AK$5:$AK$26</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Individual!$AO$5:$AO$26</c:f>
              <c:numCache>
                <c:formatCode>0.0</c:formatCode>
                <c:ptCount val="22"/>
                <c:pt idx="0">
                  <c:v>11.538461538461538</c:v>
                </c:pt>
                <c:pt idx="1">
                  <c:v>12.615384615384615</c:v>
                </c:pt>
                <c:pt idx="2">
                  <c:v>13.382007822685788</c:v>
                </c:pt>
                <c:pt idx="3">
                  <c:v>13.93714876590388</c:v>
                </c:pt>
                <c:pt idx="4">
                  <c:v>14.346199987222473</c:v>
                </c:pt>
                <c:pt idx="5">
                  <c:v>14.652988403211419</c:v>
                </c:pt>
                <c:pt idx="6">
                  <c:v>14.887263193602976</c:v>
                </c:pt>
                <c:pt idx="7">
                  <c:v>15.069476919463078</c:v>
                </c:pt>
                <c:pt idx="8">
                  <c:v>15.213872702220138</c:v>
                </c:pt>
                <c:pt idx="9">
                  <c:v>15.330500065216226</c:v>
                </c:pt>
                <c:pt idx="10">
                  <c:v>15.426546128860062</c:v>
                </c:pt>
                <c:pt idx="11">
                  <c:v>15.507224822320886</c:v>
                </c:pt>
                <c:pt idx="12">
                  <c:v>15.576377988144449</c:v>
                </c:pt>
                <c:pt idx="13">
                  <c:v>15.636887008240066</c:v>
                </c:pt>
                <c:pt idx="14">
                  <c:v>15.689832400823731</c:v>
                </c:pt>
                <c:pt idx="15">
                  <c:v>15.736159619334437</c:v>
                </c:pt>
                <c:pt idx="16">
                  <c:v>15.776695935531306</c:v>
                </c:pt>
                <c:pt idx="17">
                  <c:v>15.812165212203565</c:v>
                </c:pt>
                <c:pt idx="18">
                  <c:v>15.843200829291792</c:v>
                </c:pt>
                <c:pt idx="19">
                  <c:v>15.870356994243991</c:v>
                </c:pt>
                <c:pt idx="20">
                  <c:v>15.894118638577165</c:v>
                </c:pt>
                <c:pt idx="21">
                  <c:v>15.914910077368692</c:v>
                </c:pt>
              </c:numCache>
            </c:numRef>
          </c:val>
          <c:smooth val="0"/>
          <c:extLst>
            <c:ext xmlns:c16="http://schemas.microsoft.com/office/drawing/2014/chart" uri="{C3380CC4-5D6E-409C-BE32-E72D297353CC}">
              <c16:uniqueId val="{00000001-2C0C-442B-BEB9-0070AD13B434}"/>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10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quot;M&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2.1152482257827654E-3"/>
          <c:y val="1.7259608915352911E-2"/>
          <c:w val="0.16154003438790904"/>
          <c:h val="4.6972404330629727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 / Share</a:t>
            </a:r>
            <a:r>
              <a:rPr lang="en-US" sz="1400" b="1" baseline="0"/>
              <a:t> Price </a:t>
            </a:r>
          </a:p>
          <a:p>
            <a:pPr>
              <a:defRPr b="1"/>
            </a:pPr>
            <a:r>
              <a:rPr lang="en-US" sz="1400" b="1" baseline="0"/>
              <a:t>(Adjusted for Dividends)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892727184740347"/>
          <c:h val="0.77557734290768299"/>
        </c:manualLayout>
      </c:layout>
      <c:barChart>
        <c:barDir val="col"/>
        <c:grouping val="clustered"/>
        <c:varyColors val="0"/>
        <c:ser>
          <c:idx val="0"/>
          <c:order val="0"/>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Corporate!$B$81:$B$85</c:f>
              <c:strCache>
                <c:ptCount val="5"/>
                <c:pt idx="0">
                  <c:v>Normie</c:v>
                </c:pt>
                <c:pt idx="1">
                  <c:v>BTC 10%</c:v>
                </c:pt>
                <c:pt idx="2">
                  <c:v>BTC Maxi</c:v>
                </c:pt>
                <c:pt idx="3">
                  <c:v>Double Maxi</c:v>
                </c:pt>
                <c:pt idx="4">
                  <c:v>Triple Maxi</c:v>
                </c:pt>
              </c:strCache>
            </c:strRef>
          </c:cat>
          <c:val>
            <c:numRef>
              <c:f>Corporate!$C$81:$C$85</c:f>
              <c:numCache>
                <c:formatCode>_("$"* #,##0_);_("$"* \(#,##0\);_("$"* "-"??_);_(@_)</c:formatCode>
                <c:ptCount val="5"/>
                <c:pt idx="0">
                  <c:v>1142.2574001555054</c:v>
                </c:pt>
                <c:pt idx="1">
                  <c:v>2519.9582578507757</c:v>
                </c:pt>
                <c:pt idx="2">
                  <c:v>8045.2834762260964</c:v>
                </c:pt>
                <c:pt idx="3">
                  <c:v>17375.945497891233</c:v>
                </c:pt>
                <c:pt idx="4">
                  <c:v>27873.795282343151</c:v>
                </c:pt>
              </c:numCache>
            </c:numRef>
          </c:val>
          <c:extLst>
            <c:ext xmlns:c16="http://schemas.microsoft.com/office/drawing/2014/chart" uri="{C3380CC4-5D6E-409C-BE32-E72D297353CC}">
              <c16:uniqueId val="{00000000-6BC8-43FE-B5CF-F9034C9D6E96}"/>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_);_(&quot;$&quot;* \(#,##0\);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7.4638464201838714E-2"/>
          <c:w val="0.98729677896542023"/>
          <c:h val="0.7790143002170663"/>
        </c:manualLayout>
      </c:layout>
      <c:barChart>
        <c:barDir val="col"/>
        <c:grouping val="clustered"/>
        <c:varyColors val="0"/>
        <c:ser>
          <c:idx val="1"/>
          <c:order val="0"/>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Corporate!$B$81:$B$85</c:f>
              <c:strCache>
                <c:ptCount val="5"/>
                <c:pt idx="0">
                  <c:v>Normie</c:v>
                </c:pt>
                <c:pt idx="1">
                  <c:v>BTC 10%</c:v>
                </c:pt>
                <c:pt idx="2">
                  <c:v>BTC Maxi</c:v>
                </c:pt>
                <c:pt idx="3">
                  <c:v>Double Maxi</c:v>
                </c:pt>
                <c:pt idx="4">
                  <c:v>Triple Maxi</c:v>
                </c:pt>
              </c:strCache>
            </c:strRef>
          </c:cat>
          <c:val>
            <c:numRef>
              <c:f>Corporate!$E$81:$E$85</c:f>
              <c:numCache>
                <c:formatCode>#,##0</c:formatCode>
                <c:ptCount val="5"/>
                <c:pt idx="0">
                  <c:v>0</c:v>
                </c:pt>
                <c:pt idx="1">
                  <c:v>569.35049227900379</c:v>
                </c:pt>
                <c:pt idx="2">
                  <c:v>4540.2760794479354</c:v>
                </c:pt>
                <c:pt idx="3">
                  <c:v>25643.337124748647</c:v>
                </c:pt>
                <c:pt idx="4">
                  <c:v>39475.63305839926</c:v>
                </c:pt>
              </c:numCache>
            </c:numRef>
          </c:val>
          <c:extLst>
            <c:ext xmlns:c16="http://schemas.microsoft.com/office/drawing/2014/chart" uri="{C3380CC4-5D6E-409C-BE32-E72D297353CC}">
              <c16:uniqueId val="{00000000-95BA-4FC0-9FE1-11BEC065CDA3}"/>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2024-2045 </a:t>
            </a:r>
            <a:r>
              <a:rPr lang="en-US" b="1" baseline="0">
                <a:solidFill>
                  <a:sysClr val="windowText" lastClr="000000"/>
                </a:solidFill>
              </a:rPr>
              <a:t>Forecast</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
          <c:y val="0.10070267569791744"/>
          <c:w val="1"/>
          <c:h val="0.7998130351901791"/>
        </c:manualLayout>
      </c:layout>
      <c:barChart>
        <c:barDir val="col"/>
        <c:grouping val="clustered"/>
        <c:varyColors val="0"/>
        <c:ser>
          <c:idx val="2"/>
          <c:order val="1"/>
          <c:tx>
            <c:strRef>
              <c:f>Corporate!$AK$4</c:f>
              <c:strCache>
                <c:ptCount val="1"/>
                <c:pt idx="0">
                  <c:v>Adj. Share Price ($ / share)</c:v>
                </c:pt>
              </c:strCache>
            </c:strRef>
          </c:tx>
          <c:spPr>
            <a:solidFill>
              <a:srgbClr val="FFAC00"/>
            </a:solidFill>
            <a:ln>
              <a:noFill/>
            </a:ln>
            <a:effectLst/>
          </c:spPr>
          <c:invertIfNegative val="0"/>
          <c:dLbls>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Corporate!$AJ$6:$AJ$27</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Corporate!$AK$6:$AK$27</c:f>
              <c:numCache>
                <c:formatCode>"$"#,##0.0"K"</c:formatCode>
                <c:ptCount val="22"/>
                <c:pt idx="0">
                  <c:v>0.10875451294117648</c:v>
                </c:pt>
                <c:pt idx="1">
                  <c:v>0.13028030512585084</c:v>
                </c:pt>
                <c:pt idx="2">
                  <c:v>0.15945097849929432</c:v>
                </c:pt>
                <c:pt idx="3">
                  <c:v>0.1988874810505927</c:v>
                </c:pt>
                <c:pt idx="4">
                  <c:v>0.251774140753033</c:v>
                </c:pt>
                <c:pt idx="5">
                  <c:v>0.32181976152356723</c:v>
                </c:pt>
                <c:pt idx="6">
                  <c:v>0.41313469373054079</c:v>
                </c:pt>
                <c:pt idx="7">
                  <c:v>0.53000056233996551</c:v>
                </c:pt>
                <c:pt idx="8">
                  <c:v>0.67651607574713724</c:v>
                </c:pt>
                <c:pt idx="9">
                  <c:v>0.85611597217302104</c:v>
                </c:pt>
                <c:pt idx="10">
                  <c:v>1.070981037208256</c:v>
                </c:pt>
                <c:pt idx="11">
                  <c:v>1.3213838944438434</c:v>
                </c:pt>
                <c:pt idx="12">
                  <c:v>1.6050444863721889</c:v>
                </c:pt>
                <c:pt idx="13">
                  <c:v>1.916595259122408</c:v>
                </c:pt>
                <c:pt idx="14">
                  <c:v>2.289845992128638</c:v>
                </c:pt>
                <c:pt idx="15">
                  <c:v>2.7371068204729201</c:v>
                </c:pt>
                <c:pt idx="16">
                  <c:v>3.2731484064383083</c:v>
                </c:pt>
                <c:pt idx="17">
                  <c:v>3.9156939650641784</c:v>
                </c:pt>
                <c:pt idx="18">
                  <c:v>4.6860096917839815</c:v>
                </c:pt>
                <c:pt idx="19">
                  <c:v>5.6096132722945269</c:v>
                </c:pt>
                <c:pt idx="20">
                  <c:v>6.717124090828011</c:v>
                </c:pt>
                <c:pt idx="21">
                  <c:v>8.0452834762260963</c:v>
                </c:pt>
              </c:numCache>
            </c:numRef>
          </c:val>
          <c:extLst>
            <c:ext xmlns:c16="http://schemas.microsoft.com/office/drawing/2014/chart" uri="{C3380CC4-5D6E-409C-BE32-E72D297353CC}">
              <c16:uniqueId val="{00000000-A46B-4251-BAE7-1AF3DC91069C}"/>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Corporate!$AP$5</c:f>
              <c:strCache>
                <c:ptCount val="1"/>
                <c:pt idx="0">
                  <c:v>BTC (#)</c:v>
                </c:pt>
              </c:strCache>
            </c:strRef>
          </c:tx>
          <c:spPr>
            <a:ln w="28575" cap="rnd">
              <a:solidFill>
                <a:srgbClr val="C00000"/>
              </a:solidFill>
              <a:round/>
            </a:ln>
            <a:effectLst/>
          </c:spPr>
          <c:marker>
            <c:symbol val="none"/>
          </c:marker>
          <c:dLbls>
            <c:numFmt formatCode="#,##0.0\K"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Corporate!$AJ$6:$AJ$27</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Corporate!$AP$6:$AP$27</c:f>
              <c:numCache>
                <c:formatCode>#,##0.0"K"</c:formatCode>
                <c:ptCount val="22"/>
                <c:pt idx="0">
                  <c:v>1.6044307692307693</c:v>
                </c:pt>
                <c:pt idx="1">
                  <c:v>2.3028512820512823</c:v>
                </c:pt>
                <c:pt idx="2">
                  <c:v>2.8055614080834421</c:v>
                </c:pt>
                <c:pt idx="3">
                  <c:v>3.1734062731346193</c:v>
                </c:pt>
                <c:pt idx="4">
                  <c:v>3.4471259242082342</c:v>
                </c:pt>
                <c:pt idx="5">
                  <c:v>3.6543271384413476</c:v>
                </c:pt>
                <c:pt idx="6">
                  <c:v>3.8139436845305639</c:v>
                </c:pt>
                <c:pt idx="7">
                  <c:v>3.9391196383860287</c:v>
                </c:pt>
                <c:pt idx="8">
                  <c:v>4.0390928481142314</c:v>
                </c:pt>
                <c:pt idx="9">
                  <c:v>4.1204382642976825</c:v>
                </c:pt>
                <c:pt idx="10">
                  <c:v>4.187897488378697</c:v>
                </c:pt>
                <c:pt idx="11">
                  <c:v>4.2449383416801121</c:v>
                </c:pt>
                <c:pt idx="12">
                  <c:v>4.2941367098759056</c:v>
                </c:pt>
                <c:pt idx="13">
                  <c:v>4.3374404555665196</c:v>
                </c:pt>
                <c:pt idx="14">
                  <c:v>4.3755438776452182</c:v>
                </c:pt>
                <c:pt idx="15">
                  <c:v>4.4090615757969225</c:v>
                </c:pt>
                <c:pt idx="16">
                  <c:v>4.4385372315403657</c:v>
                </c:pt>
                <c:pt idx="17">
                  <c:v>4.4644514885331317</c:v>
                </c:pt>
                <c:pt idx="18">
                  <c:v>4.4872290119161784</c:v>
                </c:pt>
                <c:pt idx="19">
                  <c:v>4.507244801971658</c:v>
                </c:pt>
                <c:pt idx="20">
                  <c:v>4.5248298325162972</c:v>
                </c:pt>
                <c:pt idx="21">
                  <c:v>4.5402760794479358</c:v>
                </c:pt>
              </c:numCache>
            </c:numRef>
          </c:val>
          <c:smooth val="0"/>
          <c:extLst>
            <c:ext xmlns:c16="http://schemas.microsoft.com/office/drawing/2014/chart" uri="{C3380CC4-5D6E-409C-BE32-E72D297353CC}">
              <c16:uniqueId val="{00000001-A46B-4251-BAE7-1AF3DC91069C}"/>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10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0&quot;K&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6.7910650888732844E-3"/>
          <c:y val="1.7237131495367063E-2"/>
          <c:w val="0.28639472670561178"/>
          <c:h val="4.9847610380297336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4711338112737821E-2"/>
          <c:w val="1"/>
          <c:h val="0.82580437277535867"/>
        </c:manualLayout>
      </c:layout>
      <c:barChart>
        <c:barDir val="col"/>
        <c:grouping val="clustered"/>
        <c:varyColors val="0"/>
        <c:ser>
          <c:idx val="2"/>
          <c:order val="1"/>
          <c:tx>
            <c:strRef>
              <c:f>Institution!$AM$4</c:f>
              <c:strCache>
                <c:ptCount val="1"/>
                <c:pt idx="0">
                  <c:v>Net Assets</c:v>
                </c:pt>
              </c:strCache>
            </c:strRef>
          </c:tx>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Institution!$AJ$6:$AJ$27</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Institution!$AM$6:$AM$27</c:f>
              <c:numCache>
                <c:formatCode>"$"#,##0"B"</c:formatCode>
                <c:ptCount val="22"/>
                <c:pt idx="0">
                  <c:v>1</c:v>
                </c:pt>
                <c:pt idx="1">
                  <c:v>1.6666666666666667</c:v>
                </c:pt>
                <c:pt idx="2">
                  <c:v>2.3666666666666671</c:v>
                </c:pt>
                <c:pt idx="3">
                  <c:v>3.5269629629629629</c:v>
                </c:pt>
                <c:pt idx="4">
                  <c:v>5.1580042798353896</c:v>
                </c:pt>
                <c:pt idx="5">
                  <c:v>7.3998319923182425</c:v>
                </c:pt>
                <c:pt idx="6">
                  <c:v>10.410163201650967</c:v>
                </c:pt>
                <c:pt idx="7">
                  <c:v>14.355499190215543</c:v>
                </c:pt>
                <c:pt idx="8">
                  <c:v>19.39664916314732</c:v>
                </c:pt>
                <c:pt idx="9">
                  <c:v>25.668347029971347</c:v>
                </c:pt>
                <c:pt idx="10">
                  <c:v>33.253631884036245</c:v>
                </c:pt>
                <c:pt idx="11">
                  <c:v>42.154993680378979</c:v>
                </c:pt>
                <c:pt idx="12">
                  <c:v>52.265786846491451</c:v>
                </c:pt>
                <c:pt idx="13">
                  <c:v>63.346788957480044</c:v>
                </c:pt>
                <c:pt idx="14">
                  <c:v>76.931155922807733</c:v>
                </c:pt>
                <c:pt idx="15">
                  <c:v>93.428614915152025</c:v>
                </c:pt>
                <c:pt idx="16">
                  <c:v>113.46386233587522</c:v>
                </c:pt>
                <c:pt idx="17">
                  <c:v>137.79555725906386</c:v>
                </c:pt>
                <c:pt idx="18">
                  <c:v>167.34504898230742</c:v>
                </c:pt>
                <c:pt idx="19">
                  <c:v>203.23126504064194</c:v>
                </c:pt>
                <c:pt idx="20">
                  <c:v>246.81308075960413</c:v>
                </c:pt>
                <c:pt idx="21">
                  <c:v>299.74077471873125</c:v>
                </c:pt>
              </c:numCache>
            </c:numRef>
          </c:val>
          <c:extLst>
            <c:ext xmlns:c16="http://schemas.microsoft.com/office/drawing/2014/chart" uri="{C3380CC4-5D6E-409C-BE32-E72D297353CC}">
              <c16:uniqueId val="{00000000-28CE-4160-A608-EB7596817FE2}"/>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Institution!$AN$4</c:f>
              <c:strCache>
                <c:ptCount val="1"/>
                <c:pt idx="0">
                  <c:v>BTC (#)</c:v>
                </c:pt>
              </c:strCache>
            </c:strRef>
          </c:tx>
          <c:spPr>
            <a:ln w="28575" cap="rnd">
              <a:solidFill>
                <a:srgbClr val="C00000"/>
              </a:solidFill>
              <a:round/>
            </a:ln>
            <a:effectLst/>
          </c:spPr>
          <c:marker>
            <c:symbol val="none"/>
          </c:marker>
          <c:dLbls>
            <c:numFmt formatCode="#,##0.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Institution!$AJ$6:$AJ$27</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Institution!$AN$6:$AN$27</c:f>
              <c:numCache>
                <c:formatCode>#,##0.0"K"</c:formatCode>
                <c:ptCount val="22"/>
                <c:pt idx="0">
                  <c:v>15.384615384615385</c:v>
                </c:pt>
                <c:pt idx="1">
                  <c:v>17.094017094017094</c:v>
                </c:pt>
                <c:pt idx="2">
                  <c:v>17.61552947993626</c:v>
                </c:pt>
                <c:pt idx="3">
                  <c:v>18.128472100807969</c:v>
                </c:pt>
                <c:pt idx="4">
                  <c:v>18.63027386266269</c:v>
                </c:pt>
                <c:pt idx="5">
                  <c:v>19.118209606684811</c:v>
                </c:pt>
                <c:pt idx="6">
                  <c:v>19.589405883859673</c:v>
                </c:pt>
                <c:pt idx="7">
                  <c:v>20.040848982417756</c:v>
                </c:pt>
                <c:pt idx="8">
                  <c:v>20.469395438645559</c:v>
                </c:pt>
                <c:pt idx="9">
                  <c:v>20.871785263507821</c:v>
                </c:pt>
                <c:pt idx="10">
                  <c:v>21.244658115709932</c:v>
                </c:pt>
                <c:pt idx="11">
                  <c:v>21.584572645561298</c:v>
                </c:pt>
                <c:pt idx="12">
                  <c:v>21.888029222437538</c:v>
                </c:pt>
                <c:pt idx="13">
                  <c:v>22.151496240855828</c:v>
                </c:pt>
                <c:pt idx="14">
                  <c:v>22.418134621533135</c:v>
                </c:pt>
                <c:pt idx="15">
                  <c:v>22.687982538275833</c:v>
                </c:pt>
                <c:pt idx="16">
                  <c:v>22.961078624390989</c:v>
                </c:pt>
                <c:pt idx="17">
                  <c:v>23.237461978214824</c:v>
                </c:pt>
                <c:pt idx="18">
                  <c:v>23.517172168694913</c:v>
                </c:pt>
                <c:pt idx="19">
                  <c:v>23.800249241003154</c:v>
                </c:pt>
                <c:pt idx="20">
                  <c:v>24.086733722125768</c:v>
                </c:pt>
                <c:pt idx="21">
                  <c:v>24.376666626322425</c:v>
                </c:pt>
              </c:numCache>
            </c:numRef>
          </c:val>
          <c:smooth val="0"/>
          <c:extLst>
            <c:ext xmlns:c16="http://schemas.microsoft.com/office/drawing/2014/chart" uri="{C3380CC4-5D6E-409C-BE32-E72D297353CC}">
              <c16:uniqueId val="{00000001-28CE-4160-A608-EB7596817FE2}"/>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10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quot;B&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1.1778138516052682E-2"/>
          <c:y val="1.4437955228767573E-2"/>
          <c:w val="0.20500187644815607"/>
          <c:h val="4.8608697307894348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471792160192627"/>
          <c:h val="0.77191912633722937"/>
        </c:manualLayout>
      </c:layout>
      <c:barChart>
        <c:barDir val="col"/>
        <c:grouping val="clustered"/>
        <c:varyColors val="0"/>
        <c:ser>
          <c:idx val="0"/>
          <c:order val="0"/>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Institution!$B$70:$B$74</c:f>
              <c:strCache>
                <c:ptCount val="5"/>
                <c:pt idx="0">
                  <c:v>Normie</c:v>
                </c:pt>
                <c:pt idx="1">
                  <c:v>BTC 10%</c:v>
                </c:pt>
                <c:pt idx="2">
                  <c:v>BTC Maxi</c:v>
                </c:pt>
                <c:pt idx="3">
                  <c:v>Double Maxi</c:v>
                </c:pt>
                <c:pt idx="4">
                  <c:v>Triple Maxi</c:v>
                </c:pt>
              </c:strCache>
            </c:strRef>
          </c:cat>
          <c:val>
            <c:numRef>
              <c:f>Institution!$C$70:$C$74</c:f>
              <c:numCache>
                <c:formatCode>_("$"* #,##0"B"_);_("$"* \(#,##0"B"\);_("$"* "-"??_);_(@_)</c:formatCode>
                <c:ptCount val="5"/>
                <c:pt idx="0">
                  <c:v>4.4465850165411007</c:v>
                </c:pt>
                <c:pt idx="1">
                  <c:v>24.616643639091951</c:v>
                </c:pt>
                <c:pt idx="2">
                  <c:v>105.29687812929535</c:v>
                </c:pt>
                <c:pt idx="3">
                  <c:v>206.14717124204964</c:v>
                </c:pt>
                <c:pt idx="4">
                  <c:v>299.74077556681925</c:v>
                </c:pt>
              </c:numCache>
            </c:numRef>
          </c:val>
          <c:extLst>
            <c:ext xmlns:c16="http://schemas.microsoft.com/office/drawing/2014/chart" uri="{C3380CC4-5D6E-409C-BE32-E72D297353CC}">
              <c16:uniqueId val="{00000000-FF2C-4D32-91FB-B63CC9F82B60}"/>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quot;B&quot;_);_(&quot;$&quot;* \(#,##0&quot;B&quot;\);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982917190469071E-3"/>
          <c:y val="7.4638464201838714E-2"/>
          <c:w val="0.97732148045648815"/>
          <c:h val="0.7790143002170663"/>
        </c:manualLayout>
      </c:layout>
      <c:barChart>
        <c:barDir val="col"/>
        <c:grouping val="clustered"/>
        <c:varyColors val="0"/>
        <c:ser>
          <c:idx val="1"/>
          <c:order val="0"/>
          <c:spPr>
            <a:solidFill>
              <a:schemeClr val="accent2"/>
            </a:solidFill>
            <a:ln>
              <a:noFill/>
            </a:ln>
            <a:effectLst/>
          </c:spPr>
          <c:invertIfNegative val="0"/>
          <c:dLbls>
            <c:numFmt formatCode="0.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Institution!$B$70:$B$74</c:f>
              <c:strCache>
                <c:ptCount val="5"/>
                <c:pt idx="0">
                  <c:v>Normie</c:v>
                </c:pt>
                <c:pt idx="1">
                  <c:v>BTC 10%</c:v>
                </c:pt>
                <c:pt idx="2">
                  <c:v>BTC Maxi</c:v>
                </c:pt>
                <c:pt idx="3">
                  <c:v>Double Maxi</c:v>
                </c:pt>
                <c:pt idx="4">
                  <c:v>Triple Maxi</c:v>
                </c:pt>
              </c:strCache>
            </c:strRef>
          </c:cat>
          <c:val>
            <c:numRef>
              <c:f>Institution!$E$70:$E$74</c:f>
              <c:numCache>
                <c:formatCode>#,##0</c:formatCode>
                <c:ptCount val="5"/>
                <c:pt idx="0">
                  <c:v>0</c:v>
                </c:pt>
                <c:pt idx="1">
                  <c:v>1.5384615384615385</c:v>
                </c:pt>
                <c:pt idx="2">
                  <c:v>7.6923076923076943</c:v>
                </c:pt>
                <c:pt idx="3">
                  <c:v>15.384615384615389</c:v>
                </c:pt>
                <c:pt idx="4">
                  <c:v>24.376666656998218</c:v>
                </c:pt>
              </c:numCache>
            </c:numRef>
          </c:val>
          <c:extLst>
            <c:ext xmlns:c16="http://schemas.microsoft.com/office/drawing/2014/chart" uri="{C3380CC4-5D6E-409C-BE32-E72D297353CC}">
              <c16:uniqueId val="{00000000-3255-4044-926B-EBD6D73EC810}"/>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r>
              <a:rPr lang="en-US" sz="1400" b="1" baseline="0"/>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909263901075672"/>
          <c:h val="0.83410880803494147"/>
        </c:manualLayout>
      </c:layout>
      <c:barChart>
        <c:barDir val="col"/>
        <c:grouping val="clustered"/>
        <c:varyColors val="0"/>
        <c:ser>
          <c:idx val="0"/>
          <c:order val="0"/>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'Indebted Nation'!$B$80:$B$84</c:f>
              <c:strCache>
                <c:ptCount val="5"/>
                <c:pt idx="0">
                  <c:v>Normie</c:v>
                </c:pt>
                <c:pt idx="1">
                  <c:v>BTC 10%</c:v>
                </c:pt>
                <c:pt idx="2">
                  <c:v>BTC Maxi</c:v>
                </c:pt>
                <c:pt idx="3">
                  <c:v>Double Maxi</c:v>
                </c:pt>
                <c:pt idx="4">
                  <c:v>Triple Maxi</c:v>
                </c:pt>
              </c:strCache>
            </c:strRef>
          </c:cat>
          <c:val>
            <c:numRef>
              <c:f>'Indebted Nation'!$C$80:$C$84</c:f>
              <c:numCache>
                <c:formatCode>_("$"* #,##0_);_("$"* \(#,##0\);_("$"* "-"??_);_(@_)</c:formatCode>
                <c:ptCount val="5"/>
                <c:pt idx="0">
                  <c:v>-3.2288984167517865</c:v>
                </c:pt>
                <c:pt idx="1">
                  <c:v>-2.1515451176778027</c:v>
                </c:pt>
                <c:pt idx="2">
                  <c:v>-1.748605586525764E-2</c:v>
                </c:pt>
                <c:pt idx="3">
                  <c:v>8.7846599324530317</c:v>
                </c:pt>
                <c:pt idx="4">
                  <c:v>18.722791305577122</c:v>
                </c:pt>
              </c:numCache>
            </c:numRef>
          </c:val>
          <c:extLst>
            <c:ext xmlns:c16="http://schemas.microsoft.com/office/drawing/2014/chart" uri="{C3380CC4-5D6E-409C-BE32-E72D297353CC}">
              <c16:uniqueId val="{00000000-F4D4-401E-B863-24F61A5F980B}"/>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_);_(&quot;$&quot;* \(#,##0\);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9905882810876655E-3"/>
          <c:y val="7.4638464201838714E-2"/>
          <c:w val="0.99800941171891233"/>
          <c:h val="0.7790143002170663"/>
        </c:manualLayout>
      </c:layout>
      <c:barChart>
        <c:barDir val="col"/>
        <c:grouping val="clustered"/>
        <c:varyColors val="0"/>
        <c:ser>
          <c:idx val="1"/>
          <c:order val="0"/>
          <c:spPr>
            <a:solidFill>
              <a:schemeClr val="accent2"/>
            </a:solidFill>
            <a:ln>
              <a:noFill/>
            </a:ln>
            <a:effectLst/>
          </c:spPr>
          <c:invertIfNegative val="0"/>
          <c:dLbls>
            <c:numFmt formatCode="#,##0\K"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'Indebted Nation'!$B$80:$B$84</c:f>
              <c:strCache>
                <c:ptCount val="5"/>
                <c:pt idx="0">
                  <c:v>Normie</c:v>
                </c:pt>
                <c:pt idx="1">
                  <c:v>BTC 10%</c:v>
                </c:pt>
                <c:pt idx="2">
                  <c:v>BTC Maxi</c:v>
                </c:pt>
                <c:pt idx="3">
                  <c:v>Double Maxi</c:v>
                </c:pt>
                <c:pt idx="4">
                  <c:v>Triple Maxi</c:v>
                </c:pt>
              </c:strCache>
            </c:strRef>
          </c:cat>
          <c:val>
            <c:numRef>
              <c:f>'Indebted Nation'!$E$80:$E$84</c:f>
              <c:numCache>
                <c:formatCode>#,##0</c:formatCode>
                <c:ptCount val="5"/>
                <c:pt idx="0">
                  <c:v>0</c:v>
                </c:pt>
                <c:pt idx="1">
                  <c:v>82.051282051282044</c:v>
                </c:pt>
                <c:pt idx="2">
                  <c:v>245.43752475955864</c:v>
                </c:pt>
                <c:pt idx="3">
                  <c:v>1014.320879711923</c:v>
                </c:pt>
                <c:pt idx="4">
                  <c:v>1868.8065977599676</c:v>
                </c:pt>
              </c:numCache>
            </c:numRef>
          </c:val>
          <c:extLst>
            <c:ext xmlns:c16="http://schemas.microsoft.com/office/drawing/2014/chart" uri="{C3380CC4-5D6E-409C-BE32-E72D297353CC}">
              <c16:uniqueId val="{00000000-7439-4E13-82C3-BCC40F210BE4}"/>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4711338112737821E-2"/>
          <c:w val="1"/>
          <c:h val="0.82580437277535867"/>
        </c:manualLayout>
      </c:layout>
      <c:barChart>
        <c:barDir val="col"/>
        <c:grouping val="clustered"/>
        <c:varyColors val="0"/>
        <c:ser>
          <c:idx val="2"/>
          <c:order val="1"/>
          <c:tx>
            <c:strRef>
              <c:f>'Indebted Nation'!$AM$4</c:f>
              <c:strCache>
                <c:ptCount val="1"/>
                <c:pt idx="0">
                  <c:v>Net Assets</c:v>
                </c:pt>
              </c:strCache>
            </c:strRef>
          </c:tx>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'Indebted Nation'!$AJ$5:$AJ$34</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'Indebted Nation'!$AM$5:$AM$34</c:f>
              <c:numCache>
                <c:formatCode>"$"#,##0.0"T"</c:formatCode>
                <c:ptCount val="22"/>
                <c:pt idx="0">
                  <c:v>-0.32019999999999998</c:v>
                </c:pt>
                <c:pt idx="1">
                  <c:v>-0.3619412113022113</c:v>
                </c:pt>
                <c:pt idx="2">
                  <c:v>-0.38908165976564896</c:v>
                </c:pt>
                <c:pt idx="3">
                  <c:v>-0.39332823158388475</c:v>
                </c:pt>
                <c:pt idx="4">
                  <c:v>-0.36436489269050781</c:v>
                </c:pt>
                <c:pt idx="5">
                  <c:v>-0.28881276102905101</c:v>
                </c:pt>
                <c:pt idx="6">
                  <c:v>-0.16179309545877743</c:v>
                </c:pt>
                <c:pt idx="7">
                  <c:v>2.8954996457102197E-2</c:v>
                </c:pt>
                <c:pt idx="8">
                  <c:v>0.29513461872890068</c:v>
                </c:pt>
                <c:pt idx="9">
                  <c:v>0.64637287915366093</c:v>
                </c:pt>
                <c:pt idx="10">
                  <c:v>1.0883363637612611</c:v>
                </c:pt>
                <c:pt idx="11" formatCode="&quot;$&quot;#,##0&quot;T&quot;">
                  <c:v>1.6206139691470431</c:v>
                </c:pt>
                <c:pt idx="12" formatCode="&quot;$&quot;#,##0&quot;T&quot;">
                  <c:v>2.2345946406894464</c:v>
                </c:pt>
                <c:pt idx="13" formatCode="&quot;$&quot;#,##0&quot;T&quot;">
                  <c:v>2.9116534390633322</c:v>
                </c:pt>
                <c:pt idx="14" formatCode="&quot;$&quot;#,##0&quot;T&quot;">
                  <c:v>3.756183281039009</c:v>
                </c:pt>
                <c:pt idx="15" formatCode="&quot;$&quot;#,##0&quot;T&quot;">
                  <c:v>4.8055174745127784</c:v>
                </c:pt>
                <c:pt idx="16" formatCode="&quot;$&quot;#,##0&quot;T&quot;">
                  <c:v>6.1048842208326217</c:v>
                </c:pt>
                <c:pt idx="17" formatCode="&quot;$&quot;#,##0&quot;T&quot;">
                  <c:v>7.7090315192126146</c:v>
                </c:pt>
                <c:pt idx="18" formatCode="&quot;$&quot;#,##0&quot;T&quot;">
                  <c:v>9.6841818617802122</c:v>
                </c:pt>
                <c:pt idx="19" formatCode="&quot;$&quot;#,##0&quot;T&quot;">
                  <c:v>12.110383173560425</c:v>
                </c:pt>
                <c:pt idx="20" formatCode="&quot;$&quot;#,##0&quot;T&quot;">
                  <c:v>15.084335793243532</c:v>
                </c:pt>
                <c:pt idx="21" formatCode="&quot;$&quot;#,##0&quot;T&quot;">
                  <c:v>18.722791305577122</c:v>
                </c:pt>
              </c:numCache>
            </c:numRef>
          </c:val>
          <c:extLst>
            <c:ext xmlns:c16="http://schemas.microsoft.com/office/drawing/2014/chart" uri="{C3380CC4-5D6E-409C-BE32-E72D297353CC}">
              <c16:uniqueId val="{00000000-A616-4AAE-B27D-05E19F78CA88}"/>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'Indebted Nation'!$AN$4</c:f>
              <c:strCache>
                <c:ptCount val="1"/>
                <c:pt idx="0">
                  <c:v>BTC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'Indebted Nation'!$AJ$5:$AJ$34</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'Indebted Nation'!$AN$5:$AN$34</c:f>
              <c:numCache>
                <c:formatCode>#,##0"K"</c:formatCode>
                <c:ptCount val="22"/>
                <c:pt idx="0">
                  <c:v>0</c:v>
                </c:pt>
                <c:pt idx="1">
                  <c:v>475.89743589743591</c:v>
                </c:pt>
                <c:pt idx="2">
                  <c:v>823.32386196792982</c:v>
                </c:pt>
                <c:pt idx="3">
                  <c:v>1081.5241822726564</c:v>
                </c:pt>
                <c:pt idx="4">
                  <c:v>1276.9210302859201</c:v>
                </c:pt>
                <c:pt idx="5">
                  <c:v>1369.8320291786472</c:v>
                </c:pt>
                <c:pt idx="6">
                  <c:v>1444.1608282928287</c:v>
                </c:pt>
                <c:pt idx="7">
                  <c:v>1504.7250349784581</c:v>
                </c:pt>
                <c:pt idx="8">
                  <c:v>1555.0047537363394</c:v>
                </c:pt>
                <c:pt idx="9">
                  <c:v>1597.5491311468541</c:v>
                </c:pt>
                <c:pt idx="10">
                  <c:v>1634.2540842069061</c:v>
                </c:pt>
                <c:pt idx="11">
                  <c:v>1666.5544428997518</c:v>
                </c:pt>
                <c:pt idx="12">
                  <c:v>1695.5588466239399</c:v>
                </c:pt>
                <c:pt idx="13">
                  <c:v>1722.1462167044456</c:v>
                </c:pt>
                <c:pt idx="14">
                  <c:v>1746.5179726115759</c:v>
                </c:pt>
                <c:pt idx="15">
                  <c:v>1768.8587488597784</c:v>
                </c:pt>
                <c:pt idx="16">
                  <c:v>1789.3377937539644</c:v>
                </c:pt>
                <c:pt idx="17">
                  <c:v>1808.1102515736347</c:v>
                </c:pt>
                <c:pt idx="18">
                  <c:v>1825.3183379083328</c:v>
                </c:pt>
                <c:pt idx="19">
                  <c:v>1841.0924170484725</c:v>
                </c:pt>
                <c:pt idx="20">
                  <c:v>1855.5519895936004</c:v>
                </c:pt>
                <c:pt idx="21">
                  <c:v>1868.8065977599676</c:v>
                </c:pt>
              </c:numCache>
            </c:numRef>
          </c:val>
          <c:smooth val="0"/>
          <c:extLst>
            <c:ext xmlns:c16="http://schemas.microsoft.com/office/drawing/2014/chart" uri="{C3380CC4-5D6E-409C-BE32-E72D297353CC}">
              <c16:uniqueId val="{00000001-A616-4AAE-B27D-05E19F78CA88}"/>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0&quot;T&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5.4582656334368129E-3"/>
          <c:y val="1.4437955228767573E-2"/>
          <c:w val="0.18670100767032635"/>
          <c:h val="4.8608697307894348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909263901075672"/>
          <c:h val="0.77865466178786524"/>
        </c:manualLayout>
      </c:layout>
      <c:barChart>
        <c:barDir val="col"/>
        <c:grouping val="clustered"/>
        <c:varyColors val="0"/>
        <c:ser>
          <c:idx val="0"/>
          <c:order val="0"/>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'Wealthy Nation'!$B$79:$B$83</c:f>
              <c:strCache>
                <c:ptCount val="5"/>
                <c:pt idx="0">
                  <c:v>Normie</c:v>
                </c:pt>
                <c:pt idx="1">
                  <c:v>BTC 10%</c:v>
                </c:pt>
                <c:pt idx="2">
                  <c:v>BTC Maxi</c:v>
                </c:pt>
                <c:pt idx="3">
                  <c:v>Double Maxi</c:v>
                </c:pt>
                <c:pt idx="4">
                  <c:v>Triple Maxi</c:v>
                </c:pt>
              </c:strCache>
            </c:strRef>
          </c:cat>
          <c:val>
            <c:numRef>
              <c:f>'Wealthy Nation'!$C$79:$C$83</c:f>
              <c:numCache>
                <c:formatCode>_("$"* #,##0_);_("$"* \(#,##0\);_("$"* "-"??_);_(@_)</c:formatCode>
                <c:ptCount val="5"/>
                <c:pt idx="0">
                  <c:v>6.1183440990582332</c:v>
                </c:pt>
                <c:pt idx="1">
                  <c:v>15.064343446890245</c:v>
                </c:pt>
                <c:pt idx="2">
                  <c:v>26.688425226292914</c:v>
                </c:pt>
                <c:pt idx="3">
                  <c:v>41.114688640829357</c:v>
                </c:pt>
                <c:pt idx="4">
                  <c:v>57.734675468702939</c:v>
                </c:pt>
              </c:numCache>
            </c:numRef>
          </c:val>
          <c:extLst>
            <c:ext xmlns:c16="http://schemas.microsoft.com/office/drawing/2014/chart" uri="{C3380CC4-5D6E-409C-BE32-E72D297353CC}">
              <c16:uniqueId val="{00000000-9FB3-43CB-B608-AF545D99D589}"/>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_);_(&quot;$&quot;* \(#,##0\);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9905882810876655E-3"/>
          <c:y val="7.4638464201838714E-2"/>
          <c:w val="0.99800941171891233"/>
          <c:h val="0.7790143002170663"/>
        </c:manualLayout>
      </c:layout>
      <c:barChart>
        <c:barDir val="col"/>
        <c:grouping val="clustered"/>
        <c:varyColors val="0"/>
        <c:ser>
          <c:idx val="1"/>
          <c:order val="0"/>
          <c:spPr>
            <a:solidFill>
              <a:schemeClr val="accent2"/>
            </a:soli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'Wealthy Nation'!$B$79:$B$83</c:f>
              <c:strCache>
                <c:ptCount val="5"/>
                <c:pt idx="0">
                  <c:v>Normie</c:v>
                </c:pt>
                <c:pt idx="1">
                  <c:v>BTC 10%</c:v>
                </c:pt>
                <c:pt idx="2">
                  <c:v>BTC Maxi</c:v>
                </c:pt>
                <c:pt idx="3">
                  <c:v>Double Maxi</c:v>
                </c:pt>
                <c:pt idx="4">
                  <c:v>Triple Maxi</c:v>
                </c:pt>
              </c:strCache>
            </c:strRef>
          </c:cat>
          <c:val>
            <c:numRef>
              <c:f>'Wealthy Nation'!$E$79:$E$83</c:f>
              <c:numCache>
                <c:formatCode>#,##0.0</c:formatCode>
                <c:ptCount val="5"/>
                <c:pt idx="0">
                  <c:v>0</c:v>
                </c:pt>
                <c:pt idx="1">
                  <c:v>0.71441371043959367</c:v>
                </c:pt>
                <c:pt idx="2">
                  <c:v>1.6541630755592986</c:v>
                </c:pt>
                <c:pt idx="3">
                  <c:v>2.8546667491957622</c:v>
                </c:pt>
                <c:pt idx="4">
                  <c:v>4.2109715090789113</c:v>
                </c:pt>
              </c:numCache>
            </c:numRef>
          </c:val>
          <c:extLst>
            <c:ext xmlns:c16="http://schemas.microsoft.com/office/drawing/2014/chart" uri="{C3380CC4-5D6E-409C-BE32-E72D297353CC}">
              <c16:uniqueId val="{00000000-7EE1-49C7-8FAF-7686CA9C03C1}"/>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4711338112737821E-2"/>
          <c:w val="1"/>
          <c:h val="0.82580437277535867"/>
        </c:manualLayout>
      </c:layout>
      <c:barChart>
        <c:barDir val="col"/>
        <c:grouping val="clustered"/>
        <c:varyColors val="0"/>
        <c:ser>
          <c:idx val="2"/>
          <c:order val="1"/>
          <c:tx>
            <c:strRef>
              <c:f>'Wealthy Nation'!$AM$4</c:f>
              <c:strCache>
                <c:ptCount val="1"/>
                <c:pt idx="0">
                  <c:v>Net Assets</c:v>
                </c:pt>
              </c:strCache>
            </c:strRef>
          </c:tx>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'Wealthy Nation'!$AJ$5:$AJ$33</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'Wealthy Nation'!$AM$5:$AM$33</c:f>
              <c:numCache>
                <c:formatCode>"$"#,##0.0"T"</c:formatCode>
                <c:ptCount val="22"/>
                <c:pt idx="0">
                  <c:v>0.34949999999999998</c:v>
                </c:pt>
                <c:pt idx="1">
                  <c:v>0.4381953582583259</c:v>
                </c:pt>
                <c:pt idx="2">
                  <c:v>0.56186287119881473</c:v>
                </c:pt>
                <c:pt idx="3">
                  <c:v>0.70791451794090032</c:v>
                </c:pt>
                <c:pt idx="4">
                  <c:v>0.88114747257737325</c:v>
                </c:pt>
                <c:pt idx="5">
                  <c:v>1.0870389814028572</c:v>
                </c:pt>
                <c:pt idx="6">
                  <c:v>1.3315856105737296</c:v>
                </c:pt>
                <c:pt idx="7">
                  <c:v>1.6210089381616877</c:v>
                </c:pt>
                <c:pt idx="8">
                  <c:v>1.961309256566214</c:v>
                </c:pt>
                <c:pt idx="9">
                  <c:v>2.3576667846410531</c:v>
                </c:pt>
                <c:pt idx="10">
                  <c:v>2.8137164502179179</c:v>
                </c:pt>
                <c:pt idx="11" formatCode="&quot;$&quot;#,##0&quot;T&quot;">
                  <c:v>3.3307556159068268</c:v>
                </c:pt>
                <c:pt idx="12" formatCode="&quot;$&quot;#,##0&quot;T&quot;">
                  <c:v>3.9069797278167209</c:v>
                </c:pt>
                <c:pt idx="13" formatCode="&quot;$&quot;#,##0&quot;T&quot;">
                  <c:v>4.5368717330005905</c:v>
                </c:pt>
                <c:pt idx="14" formatCode="&quot;$&quot;#,##0&quot;T&quot;">
                  <c:v>5.2657243553512849</c:v>
                </c:pt>
                <c:pt idx="15" formatCode="&quot;$&quot;#,##0&quot;T&quot;">
                  <c:v>6.1106426183657945</c:v>
                </c:pt>
                <c:pt idx="16" formatCode="&quot;$&quot;#,##0&quot;T&quot;">
                  <c:v>7.0919098449679243</c:v>
                </c:pt>
                <c:pt idx="17" formatCode="&quot;$&quot;#,##0&quot;T&quot;">
                  <c:v>8.2336019058327174</c:v>
                </c:pt>
                <c:pt idx="18" formatCode="&quot;$&quot;#,##0&quot;T&quot;">
                  <c:v>9.5643224363766866</c:v>
                </c:pt>
                <c:pt idx="19" formatCode="&quot;$&quot;#,##0&quot;T&quot;">
                  <c:v>11.118083050730204</c:v>
                </c:pt>
                <c:pt idx="20" formatCode="&quot;$&quot;#,##0&quot;T&quot;">
                  <c:v>12.935357372093328</c:v>
                </c:pt>
                <c:pt idx="21" formatCode="&quot;$&quot;#,##0&quot;T&quot;">
                  <c:v>15.064343446890245</c:v>
                </c:pt>
              </c:numCache>
            </c:numRef>
          </c:val>
          <c:extLst>
            <c:ext xmlns:c16="http://schemas.microsoft.com/office/drawing/2014/chart" uri="{C3380CC4-5D6E-409C-BE32-E72D297353CC}">
              <c16:uniqueId val="{00000000-36A8-4D87-89F3-3DFF40F88717}"/>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'Wealthy Nation'!$AN$4</c:f>
              <c:strCache>
                <c:ptCount val="1"/>
                <c:pt idx="0">
                  <c:v>BTC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'Wealthy Nation'!$AJ$5:$AJ$33</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'Wealthy Nation'!$AN$5:$AN$33</c:f>
              <c:numCache>
                <c:formatCode>#,##0.0"M"</c:formatCode>
                <c:ptCount val="22"/>
                <c:pt idx="0">
                  <c:v>0</c:v>
                </c:pt>
                <c:pt idx="1">
                  <c:v>0.56483076923076925</c:v>
                </c:pt>
                <c:pt idx="2">
                  <c:v>0.60166435462842238</c:v>
                </c:pt>
                <c:pt idx="3">
                  <c:v>0.62793680061142831</c:v>
                </c:pt>
                <c:pt idx="4">
                  <c:v>0.64700242761270843</c:v>
                </c:pt>
                <c:pt idx="5">
                  <c:v>0.66108336653273692</c:v>
                </c:pt>
                <c:pt idx="6">
                  <c:v>0.67167060424671232</c:v>
                </c:pt>
                <c:pt idx="7">
                  <c:v>0.67977741107849921</c:v>
                </c:pt>
                <c:pt idx="8">
                  <c:v>0.68610129606920078</c:v>
                </c:pt>
                <c:pt idx="9">
                  <c:v>0.69112867407616674</c:v>
                </c:pt>
                <c:pt idx="10">
                  <c:v>0.69520327378655011</c:v>
                </c:pt>
                <c:pt idx="11">
                  <c:v>0.69857135745916199</c:v>
                </c:pt>
                <c:pt idx="12">
                  <c:v>0.70141196129103633</c:v>
                </c:pt>
                <c:pt idx="13">
                  <c:v>0.70385736632241269</c:v>
                </c:pt>
                <c:pt idx="14">
                  <c:v>0.70596235570408106</c:v>
                </c:pt>
                <c:pt idx="15">
                  <c:v>0.707774152198127</c:v>
                </c:pt>
                <c:pt idx="16">
                  <c:v>0.70933345580672258</c:v>
                </c:pt>
                <c:pt idx="17">
                  <c:v>0.71067533997455024</c:v>
                </c:pt>
                <c:pt idx="18">
                  <c:v>0.71183002547175456</c:v>
                </c:pt>
                <c:pt idx="19">
                  <c:v>0.71282354851225982</c:v>
                </c:pt>
                <c:pt idx="20">
                  <c:v>0.71367833744597531</c:v>
                </c:pt>
                <c:pt idx="21">
                  <c:v>0.71441371043959367</c:v>
                </c:pt>
              </c:numCache>
            </c:numRef>
          </c:val>
          <c:smooth val="0"/>
          <c:extLst>
            <c:ext xmlns:c16="http://schemas.microsoft.com/office/drawing/2014/chart" uri="{C3380CC4-5D6E-409C-BE32-E72D297353CC}">
              <c16:uniqueId val="{00000001-36A8-4D87-89F3-3DFF40F88717}"/>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0&quot;T&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5.6011134424257258E-3"/>
          <c:y val="2.1550248444909222E-2"/>
          <c:w val="0.17271609930249587"/>
          <c:h val="4.8608697307894348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r>
              <a:rPr lang="en-US" sz="1400" b="1" baseline="0"/>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909263901075672"/>
          <c:h val="0.83410880803494147"/>
        </c:manualLayout>
      </c:layout>
      <c:barChart>
        <c:barDir val="col"/>
        <c:grouping val="clustered"/>
        <c:varyColors val="0"/>
        <c:ser>
          <c:idx val="0"/>
          <c:order val="0"/>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'United States'!$B$90:$B$94</c:f>
              <c:strCache>
                <c:ptCount val="5"/>
                <c:pt idx="0">
                  <c:v>Normie</c:v>
                </c:pt>
                <c:pt idx="1">
                  <c:v>BTC 10%</c:v>
                </c:pt>
                <c:pt idx="2">
                  <c:v>BTC Maxi</c:v>
                </c:pt>
                <c:pt idx="3">
                  <c:v>Double Maxi</c:v>
                </c:pt>
                <c:pt idx="4">
                  <c:v>Triple Maxi</c:v>
                </c:pt>
              </c:strCache>
            </c:strRef>
          </c:cat>
          <c:val>
            <c:numRef>
              <c:f>'United States'!$C$90:$C$94</c:f>
              <c:numCache>
                <c:formatCode>_("$"* #,##0_);_("$"* \(#,##0\);_("$"* "-"??_);_(@_)</c:formatCode>
                <c:ptCount val="5"/>
                <c:pt idx="0">
                  <c:v>-30.394802272894253</c:v>
                </c:pt>
                <c:pt idx="1">
                  <c:v>-23.792021414621598</c:v>
                </c:pt>
                <c:pt idx="2">
                  <c:v>-17.230478209606311</c:v>
                </c:pt>
                <c:pt idx="3">
                  <c:v>1.1870932648287535</c:v>
                </c:pt>
                <c:pt idx="4">
                  <c:v>29.792182347859509</c:v>
                </c:pt>
              </c:numCache>
            </c:numRef>
          </c:val>
          <c:extLst>
            <c:ext xmlns:c16="http://schemas.microsoft.com/office/drawing/2014/chart" uri="{C3380CC4-5D6E-409C-BE32-E72D297353CC}">
              <c16:uniqueId val="{00000000-1AA7-46BA-8CBF-85B9E46822F4}"/>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_);_(&quot;$&quot;* \(#,##0\);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9905882810876655E-3"/>
          <c:y val="7.4638464201838714E-2"/>
          <c:w val="0.99800941171891233"/>
          <c:h val="0.7790143002170663"/>
        </c:manualLayout>
      </c:layout>
      <c:barChart>
        <c:barDir val="col"/>
        <c:grouping val="clustered"/>
        <c:varyColors val="0"/>
        <c:ser>
          <c:idx val="1"/>
          <c:order val="0"/>
          <c:spPr>
            <a:solidFill>
              <a:schemeClr val="accent2"/>
            </a:soli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'United States'!$B$90:$B$94</c:f>
              <c:strCache>
                <c:ptCount val="5"/>
                <c:pt idx="0">
                  <c:v>Normie</c:v>
                </c:pt>
                <c:pt idx="1">
                  <c:v>BTC 10%</c:v>
                </c:pt>
                <c:pt idx="2">
                  <c:v>BTC Maxi</c:v>
                </c:pt>
                <c:pt idx="3">
                  <c:v>Double Maxi</c:v>
                </c:pt>
                <c:pt idx="4">
                  <c:v>Triple Maxi</c:v>
                </c:pt>
              </c:strCache>
            </c:strRef>
          </c:cat>
          <c:val>
            <c:numRef>
              <c:f>'United States'!$E$90:$E$94</c:f>
              <c:numCache>
                <c:formatCode>#,##0.0</c:formatCode>
                <c:ptCount val="5"/>
                <c:pt idx="0">
                  <c:v>0</c:v>
                </c:pt>
                <c:pt idx="1">
                  <c:v>0.5</c:v>
                </c:pt>
                <c:pt idx="2">
                  <c:v>1</c:v>
                </c:pt>
                <c:pt idx="3">
                  <c:v>3.2632025077939377</c:v>
                </c:pt>
                <c:pt idx="4">
                  <c:v>5.8420971115518769</c:v>
                </c:pt>
              </c:numCache>
            </c:numRef>
          </c:val>
          <c:extLst>
            <c:ext xmlns:c16="http://schemas.microsoft.com/office/drawing/2014/chart" uri="{C3380CC4-5D6E-409C-BE32-E72D297353CC}">
              <c16:uniqueId val="{00000000-F5AC-45DA-9A30-E2992CEE00B7}"/>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4711338112737821E-2"/>
          <c:w val="1"/>
          <c:h val="0.82580437277535867"/>
        </c:manualLayout>
      </c:layout>
      <c:barChart>
        <c:barDir val="col"/>
        <c:grouping val="clustered"/>
        <c:varyColors val="0"/>
        <c:ser>
          <c:idx val="2"/>
          <c:order val="1"/>
          <c:tx>
            <c:strRef>
              <c:f>'United States'!$AM$4</c:f>
              <c:strCache>
                <c:ptCount val="1"/>
                <c:pt idx="0">
                  <c:v>Net Assets</c:v>
                </c:pt>
              </c:strCache>
            </c:strRef>
          </c:tx>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'United States'!$AJ$5:$AJ$39</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'United States'!$AM$5:$AM$39</c:f>
              <c:numCache>
                <c:formatCode>"$"#,##0"T"</c:formatCode>
                <c:ptCount val="22"/>
                <c:pt idx="0">
                  <c:v>-35.4</c:v>
                </c:pt>
                <c:pt idx="1">
                  <c:v>-37.533835380835384</c:v>
                </c:pt>
                <c:pt idx="2">
                  <c:v>-39.577943623957893</c:v>
                </c:pt>
                <c:pt idx="3">
                  <c:v>-41.479748677057287</c:v>
                </c:pt>
                <c:pt idx="4">
                  <c:v>-43.168843959552355</c:v>
                </c:pt>
                <c:pt idx="5">
                  <c:v>-44.553740730679344</c:v>
                </c:pt>
                <c:pt idx="6">
                  <c:v>-45.661294466003241</c:v>
                </c:pt>
                <c:pt idx="7">
                  <c:v>-46.436580894268452</c:v>
                </c:pt>
                <c:pt idx="8">
                  <c:v>-46.823812270145361</c:v>
                </c:pt>
                <c:pt idx="9">
                  <c:v>-46.769505160308192</c:v>
                </c:pt>
                <c:pt idx="10">
                  <c:v>-46.226321456710338</c:v>
                </c:pt>
                <c:pt idx="11">
                  <c:v>-45.157242288312887</c:v>
                </c:pt>
                <c:pt idx="12">
                  <c:v>-43.539536937576088</c:v>
                </c:pt>
                <c:pt idx="13">
                  <c:v>-41.367819577745301</c:v>
                </c:pt>
                <c:pt idx="14">
                  <c:v>-38.335568174653673</c:v>
                </c:pt>
                <c:pt idx="15">
                  <c:v>-34.246594570223564</c:v>
                </c:pt>
                <c:pt idx="16">
                  <c:v>-28.863951351726943</c:v>
                </c:pt>
                <c:pt idx="17">
                  <c:v>-21.901679505938137</c:v>
                </c:pt>
                <c:pt idx="18">
                  <c:v>-13.01489880652656</c:v>
                </c:pt>
                <c:pt idx="19">
                  <c:v>-1.7879090149897934</c:v>
                </c:pt>
                <c:pt idx="20">
                  <c:v>12.28009644077602</c:v>
                </c:pt>
                <c:pt idx="21">
                  <c:v>29.792182347859509</c:v>
                </c:pt>
              </c:numCache>
            </c:numRef>
          </c:val>
          <c:extLst>
            <c:ext xmlns:c16="http://schemas.microsoft.com/office/drawing/2014/chart" uri="{C3380CC4-5D6E-409C-BE32-E72D297353CC}">
              <c16:uniqueId val="{00000000-D990-450E-A2E0-FAA1B9A1AF3E}"/>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'United States'!$AN$4</c:f>
              <c:strCache>
                <c:ptCount val="1"/>
                <c:pt idx="0">
                  <c:v>BTC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'United States'!$AJ$5:$AJ$39</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'United States'!$AN$5:$AN$39</c:f>
              <c:numCache>
                <c:formatCode>#,##0.0"M"</c:formatCode>
                <c:ptCount val="22"/>
                <c:pt idx="0">
                  <c:v>0</c:v>
                </c:pt>
                <c:pt idx="1">
                  <c:v>1</c:v>
                </c:pt>
                <c:pt idx="2">
                  <c:v>2</c:v>
                </c:pt>
                <c:pt idx="3">
                  <c:v>3</c:v>
                </c:pt>
                <c:pt idx="4">
                  <c:v>4</c:v>
                </c:pt>
                <c:pt idx="5">
                  <c:v>4</c:v>
                </c:pt>
                <c:pt idx="6">
                  <c:v>4</c:v>
                </c:pt>
                <c:pt idx="7">
                  <c:v>4</c:v>
                </c:pt>
                <c:pt idx="8">
                  <c:v>4</c:v>
                </c:pt>
                <c:pt idx="9">
                  <c:v>4</c:v>
                </c:pt>
                <c:pt idx="10">
                  <c:v>4</c:v>
                </c:pt>
                <c:pt idx="11">
                  <c:v>4</c:v>
                </c:pt>
                <c:pt idx="12">
                  <c:v>4</c:v>
                </c:pt>
                <c:pt idx="13">
                  <c:v>4.015939109838631</c:v>
                </c:pt>
                <c:pt idx="14">
                  <c:v>4.1163036328454785</c:v>
                </c:pt>
                <c:pt idx="15">
                  <c:v>4.2801872488098116</c:v>
                </c:pt>
                <c:pt idx="16">
                  <c:v>4.4905600741187053</c:v>
                </c:pt>
                <c:pt idx="17">
                  <c:v>4.7336268949967542</c:v>
                </c:pt>
                <c:pt idx="18">
                  <c:v>4.9982856076968396</c:v>
                </c:pt>
                <c:pt idx="19">
                  <c:v>5.275670742611406</c:v>
                </c:pt>
                <c:pt idx="20">
                  <c:v>5.5587691846725331</c:v>
                </c:pt>
                <c:pt idx="21">
                  <c:v>5.8420971115518769</c:v>
                </c:pt>
              </c:numCache>
            </c:numRef>
          </c:val>
          <c:smooth val="0"/>
          <c:extLst>
            <c:ext xmlns:c16="http://schemas.microsoft.com/office/drawing/2014/chart" uri="{C3380CC4-5D6E-409C-BE32-E72D297353CC}">
              <c16:uniqueId val="{00000001-D990-450E-A2E0-FAA1B9A1AF3E}"/>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quot;T&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1.4834917075555105E-2"/>
          <c:y val="1.2067190823387013E-2"/>
          <c:w val="0.17326244508198457"/>
          <c:h val="4.8608697307894348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Assets by Market Cap ($T)</cx:v>
        </cx:txData>
      </cx:tx>
      <cx:txPr>
        <a:bodyPr rot="0" spcFirstLastPara="1" vertOverflow="ellipsis" vert="horz" wrap="square" lIns="38100" tIns="19050" rIns="38100" bIns="19050" anchor="ctr" anchorCtr="1" compatLnSpc="0"/>
        <a:lstStyle/>
        <a:p>
          <a:pPr algn="ctr" rtl="0">
            <a:defRPr sz="1600" b="0" i="0" u="none" strike="noStrike" baseline="0">
              <a:solidFill>
                <a:sysClr val="windowText" lastClr="000000">
                  <a:lumMod val="65000"/>
                  <a:lumOff val="35000"/>
                </a:sysClr>
              </a:solidFill>
              <a:latin typeface="+mn-lt"/>
              <a:ea typeface="+mn-ea"/>
              <a:cs typeface="+mn-cs"/>
            </a:defRPr>
          </a:pPr>
          <a:r>
            <a:rPr kumimoji="0" lang="en-US" sz="1600" b="1" i="0" u="none" strike="noStrike" kern="0" cap="none" spc="0" normalizeH="0" baseline="0" noProof="0">
              <a:ln>
                <a:noFill/>
              </a:ln>
              <a:solidFill>
                <a:sysClr val="windowText" lastClr="000000"/>
              </a:solidFill>
              <a:effectLst/>
              <a:uLnTx/>
              <a:uFillTx/>
              <a:latin typeface="Aptos Narrow" panose="02110004020202020204"/>
            </a:rPr>
            <a:t>Assets by Market Cap ($T)</a:t>
          </a:r>
        </a:p>
      </cx:txPr>
    </cx:title>
    <cx:plotArea>
      <cx:plotAreaRegion>
        <cx:series layoutId="treemap" uniqueId="{39A9DF25-EBC3-44C4-A097-B7D0B10C671F}">
          <cx:dataPt idx="0">
            <cx:spPr>
              <a:solidFill>
                <a:srgbClr val="FFAC00"/>
              </a:solidFill>
            </cx:spPr>
          </cx:dataPt>
          <cx:dataLabels pos="inEnd">
            <cx:numFmt formatCode="_($* #,##0T_);_($* (#,##0);_($* &quot;-&quot;??_);_(@_)" sourceLinked="0"/>
            <cx:txPr>
              <a:bodyPr spcFirstLastPara="1" vertOverflow="ellipsis" horzOverflow="overflow" wrap="square" lIns="0" tIns="0" rIns="0" bIns="0" anchor="ctr" anchorCtr="1"/>
              <a:lstStyle/>
              <a:p>
                <a:pPr algn="ctr" rtl="0">
                  <a:defRPr sz="1100" b="1"/>
                </a:pPr>
                <a:endParaRPr lang="en-US" sz="1100" b="1" i="0" u="none" strike="noStrike" baseline="0">
                  <a:solidFill>
                    <a:sysClr val="window" lastClr="FFFFFF"/>
                  </a:solidFill>
                  <a:latin typeface="Aptos Narrow" panose="02110004020202020204"/>
                </a:endParaRPr>
              </a:p>
            </cx:txPr>
            <cx:visibility seriesName="0" categoryName="1" value="1"/>
            <cx:separator>, </cx:separator>
            <cx:dataLabelHidden idx="6"/>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5.xml"/><Relationship Id="rId4" Type="http://schemas.openxmlformats.org/officeDocument/2006/relationships/image" Target="../media/image3.svg"/></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svg"/><Relationship Id="rId1" Type="http://schemas.openxmlformats.org/officeDocument/2006/relationships/image" Target="../media/image4.png"/><Relationship Id="rId5" Type="http://schemas.openxmlformats.org/officeDocument/2006/relationships/chart" Target="../charts/chart8.xml"/><Relationship Id="rId4"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7.svg"/><Relationship Id="rId1" Type="http://schemas.openxmlformats.org/officeDocument/2006/relationships/image" Target="../media/image6.png"/><Relationship Id="rId5" Type="http://schemas.openxmlformats.org/officeDocument/2006/relationships/chart" Target="../charts/chart11.xml"/><Relationship Id="rId4"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image" Target="../media/image9.svg"/><Relationship Id="rId1" Type="http://schemas.openxmlformats.org/officeDocument/2006/relationships/image" Target="../media/image8.png"/><Relationship Id="rId5" Type="http://schemas.openxmlformats.org/officeDocument/2006/relationships/chart" Target="../charts/chart14.xml"/><Relationship Id="rId4"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6.xml"/><Relationship Id="rId1" Type="http://schemas.openxmlformats.org/officeDocument/2006/relationships/chart" Target="../charts/chart15.xml"/><Relationship Id="rId5" Type="http://schemas.openxmlformats.org/officeDocument/2006/relationships/chart" Target="../charts/chart17.xml"/><Relationship Id="rId4" Type="http://schemas.openxmlformats.org/officeDocument/2006/relationships/image" Target="../media/image9.svg"/></Relationships>
</file>

<file path=xl/drawings/_rels/drawing9.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0.xml"/><Relationship Id="rId4" Type="http://schemas.openxmlformats.org/officeDocument/2006/relationships/image" Target="../media/image9.svg"/></Relationships>
</file>

<file path=xl/drawings/drawing1.xml><?xml version="1.0" encoding="utf-8"?>
<xdr:wsDr xmlns:xdr="http://schemas.openxmlformats.org/drawingml/2006/spreadsheetDrawing" xmlns:a="http://schemas.openxmlformats.org/drawingml/2006/main">
  <xdr:twoCellAnchor editAs="oneCell">
    <xdr:from>
      <xdr:col>3</xdr:col>
      <xdr:colOff>800099</xdr:colOff>
      <xdr:row>0</xdr:row>
      <xdr:rowOff>175899</xdr:rowOff>
    </xdr:from>
    <xdr:to>
      <xdr:col>4</xdr:col>
      <xdr:colOff>462643</xdr:colOff>
      <xdr:row>0</xdr:row>
      <xdr:rowOff>690338</xdr:rowOff>
    </xdr:to>
    <xdr:pic>
      <xdr:nvPicPr>
        <xdr:cNvPr id="8" name="Picture 1" descr="Bitcoin Logo, symbol, meaning, history, PNG, brand">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10199" y="175899"/>
          <a:ext cx="957944" cy="514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95250</xdr:colOff>
      <xdr:row>9</xdr:row>
      <xdr:rowOff>152400</xdr:rowOff>
    </xdr:from>
    <xdr:to>
      <xdr:col>22</xdr:col>
      <xdr:colOff>361950</xdr:colOff>
      <xdr:row>35</xdr:row>
      <xdr:rowOff>21981</xdr:rowOff>
    </xdr:to>
    <xdr:graphicFrame macro="">
      <xdr:nvGraphicFramePr>
        <xdr:cNvPr id="7"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51288</xdr:colOff>
      <xdr:row>2</xdr:row>
      <xdr:rowOff>14654</xdr:rowOff>
    </xdr:from>
    <xdr:to>
      <xdr:col>22</xdr:col>
      <xdr:colOff>381000</xdr:colOff>
      <xdr:row>9</xdr:row>
      <xdr:rowOff>43961</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35</xdr:col>
      <xdr:colOff>28575</xdr:colOff>
      <xdr:row>4</xdr:row>
      <xdr:rowOff>110288</xdr:rowOff>
    </xdr:from>
    <xdr:to>
      <xdr:col>43</xdr:col>
      <xdr:colOff>571500</xdr:colOff>
      <xdr:row>36</xdr:row>
      <xdr:rowOff>190499</xdr:rowOff>
    </xdr:to>
    <mc:AlternateContent xmlns:mc="http://schemas.openxmlformats.org/markup-compatibility/2006">
      <mc:Choice xmlns:cx1="http://schemas.microsoft.com/office/drawing/2015/9/8/chartex" Requires="cx1">
        <xdr:graphicFrame macro="">
          <xdr:nvGraphicFramePr>
            <xdr:cNvPr id="2" name="Chart 8">
              <a:extLst>
                <a:ext uri="{FF2B5EF4-FFF2-40B4-BE49-F238E27FC236}">
                  <a16:creationId xmlns:a16="http://schemas.microsoft.com/office/drawing/2014/main" id="{1A05AC8F-CDDF-49EB-8836-7B46275AB81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880475" y="884988"/>
              <a:ext cx="5927725" cy="590951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49355</xdr:colOff>
      <xdr:row>64</xdr:row>
      <xdr:rowOff>23584</xdr:rowOff>
    </xdr:from>
    <xdr:to>
      <xdr:col>24</xdr:col>
      <xdr:colOff>609599</xdr:colOff>
      <xdr:row>85</xdr:row>
      <xdr:rowOff>130844</xdr:rowOff>
    </xdr:to>
    <xdr:graphicFrame macro="">
      <xdr:nvGraphicFramePr>
        <xdr:cNvPr id="13" name="Chart 1">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742951</xdr:colOff>
      <xdr:row>64</xdr:row>
      <xdr:rowOff>28670</xdr:rowOff>
    </xdr:from>
    <xdr:to>
      <xdr:col>40</xdr:col>
      <xdr:colOff>695325</xdr:colOff>
      <xdr:row>85</xdr:row>
      <xdr:rowOff>142350</xdr:rowOff>
    </xdr:to>
    <xdr:graphicFrame macro="">
      <xdr:nvGraphicFramePr>
        <xdr:cNvPr id="11"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239055</xdr:colOff>
      <xdr:row>22</xdr:row>
      <xdr:rowOff>815</xdr:rowOff>
    </xdr:from>
    <xdr:to>
      <xdr:col>25</xdr:col>
      <xdr:colOff>65941</xdr:colOff>
      <xdr:row>23</xdr:row>
      <xdr:rowOff>5755</xdr:rowOff>
    </xdr:to>
    <xdr:sp macro="" textlink="">
      <xdr:nvSpPr>
        <xdr:cNvPr id="3" name="Oval 2">
          <a:extLst>
            <a:ext uri="{FF2B5EF4-FFF2-40B4-BE49-F238E27FC236}">
              <a16:creationId xmlns:a16="http://schemas.microsoft.com/office/drawing/2014/main" id="{00000000-0008-0000-0300-000003000000}"/>
            </a:ext>
          </a:extLst>
        </xdr:cNvPr>
        <xdr:cNvSpPr/>
      </xdr:nvSpPr>
      <xdr:spPr>
        <a:xfrm>
          <a:off x="5712267" y="4697373"/>
          <a:ext cx="581559" cy="195440"/>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145980</xdr:colOff>
      <xdr:row>32</xdr:row>
      <xdr:rowOff>2130</xdr:rowOff>
    </xdr:from>
    <xdr:to>
      <xdr:col>31</xdr:col>
      <xdr:colOff>44161</xdr:colOff>
      <xdr:row>33</xdr:row>
      <xdr:rowOff>0</xdr:rowOff>
    </xdr:to>
    <xdr:sp macro="" textlink="">
      <xdr:nvSpPr>
        <xdr:cNvPr id="5" name="Oval 4">
          <a:extLst>
            <a:ext uri="{FF2B5EF4-FFF2-40B4-BE49-F238E27FC236}">
              <a16:creationId xmlns:a16="http://schemas.microsoft.com/office/drawing/2014/main" id="{00000000-0008-0000-0300-000005000000}"/>
            </a:ext>
          </a:extLst>
        </xdr:cNvPr>
        <xdr:cNvSpPr/>
      </xdr:nvSpPr>
      <xdr:spPr>
        <a:xfrm>
          <a:off x="6668963" y="6676199"/>
          <a:ext cx="653612" cy="195440"/>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20410</xdr:colOff>
      <xdr:row>31</xdr:row>
      <xdr:rowOff>178678</xdr:rowOff>
    </xdr:from>
    <xdr:to>
      <xdr:col>25</xdr:col>
      <xdr:colOff>0</xdr:colOff>
      <xdr:row>33</xdr:row>
      <xdr:rowOff>0</xdr:rowOff>
    </xdr:to>
    <xdr:sp macro="" textlink="">
      <xdr:nvSpPr>
        <xdr:cNvPr id="6" name="Oval 5">
          <a:extLst>
            <a:ext uri="{FF2B5EF4-FFF2-40B4-BE49-F238E27FC236}">
              <a16:creationId xmlns:a16="http://schemas.microsoft.com/office/drawing/2014/main" id="{00000000-0008-0000-0300-000006000000}"/>
            </a:ext>
          </a:extLst>
        </xdr:cNvPr>
        <xdr:cNvSpPr/>
      </xdr:nvSpPr>
      <xdr:spPr>
        <a:xfrm>
          <a:off x="5565321" y="6145410"/>
          <a:ext cx="877661"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475728</xdr:colOff>
      <xdr:row>0</xdr:row>
      <xdr:rowOff>37157</xdr:rowOff>
    </xdr:from>
    <xdr:to>
      <xdr:col>3</xdr:col>
      <xdr:colOff>5174</xdr:colOff>
      <xdr:row>0</xdr:row>
      <xdr:rowOff>319767</xdr:rowOff>
    </xdr:to>
    <xdr:pic>
      <xdr:nvPicPr>
        <xdr:cNvPr id="8" name="Graphic 16" descr="Man with solid fill">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85353" y="37157"/>
          <a:ext cx="284642" cy="282610"/>
        </a:xfrm>
        <a:prstGeom prst="rect">
          <a:avLst/>
        </a:prstGeom>
      </xdr:spPr>
    </xdr:pic>
    <xdr:clientData/>
  </xdr:twoCellAnchor>
  <xdr:twoCellAnchor>
    <xdr:from>
      <xdr:col>1</xdr:col>
      <xdr:colOff>9526</xdr:colOff>
      <xdr:row>35</xdr:row>
      <xdr:rowOff>47625</xdr:rowOff>
    </xdr:from>
    <xdr:to>
      <xdr:col>41</xdr:col>
      <xdr:colOff>0</xdr:colOff>
      <xdr:row>62</xdr:row>
      <xdr:rowOff>114300</xdr:rowOff>
    </xdr:to>
    <xdr:graphicFrame macro="">
      <xdr:nvGraphicFramePr>
        <xdr:cNvPr id="15" name="Chart 8">
          <a:extLst>
            <a:ext uri="{FF2B5EF4-FFF2-40B4-BE49-F238E27FC236}">
              <a16:creationId xmlns:a16="http://schemas.microsoft.com/office/drawing/2014/main" id="{E28216A8-CA63-4190-9807-90D168648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376032</xdr:colOff>
      <xdr:row>0</xdr:row>
      <xdr:rowOff>8283</xdr:rowOff>
    </xdr:from>
    <xdr:to>
      <xdr:col>2</xdr:col>
      <xdr:colOff>720587</xdr:colOff>
      <xdr:row>1</xdr:row>
      <xdr:rowOff>21534</xdr:rowOff>
    </xdr:to>
    <xdr:pic>
      <xdr:nvPicPr>
        <xdr:cNvPr id="3" name="Graphic 2" descr="City with solid fill">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11967" y="8283"/>
          <a:ext cx="344555" cy="344555"/>
        </a:xfrm>
        <a:prstGeom prst="rect">
          <a:avLst/>
        </a:prstGeom>
      </xdr:spPr>
    </xdr:pic>
    <xdr:clientData/>
  </xdr:twoCellAnchor>
  <xdr:twoCellAnchor>
    <xdr:from>
      <xdr:col>1</xdr:col>
      <xdr:colOff>1599</xdr:colOff>
      <xdr:row>79</xdr:row>
      <xdr:rowOff>29608</xdr:rowOff>
    </xdr:from>
    <xdr:to>
      <xdr:col>20</xdr:col>
      <xdr:colOff>0</xdr:colOff>
      <xdr:row>97</xdr:row>
      <xdr:rowOff>72245</xdr:rowOff>
    </xdr:to>
    <xdr:graphicFrame macro="">
      <xdr:nvGraphicFramePr>
        <xdr:cNvPr id="8" name="Chart 1">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161926</xdr:colOff>
      <xdr:row>79</xdr:row>
      <xdr:rowOff>26411</xdr:rowOff>
    </xdr:from>
    <xdr:to>
      <xdr:col>39</xdr:col>
      <xdr:colOff>781050</xdr:colOff>
      <xdr:row>97</xdr:row>
      <xdr:rowOff>83442</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205803</xdr:colOff>
      <xdr:row>19</xdr:row>
      <xdr:rowOff>180838</xdr:rowOff>
    </xdr:from>
    <xdr:to>
      <xdr:col>25</xdr:col>
      <xdr:colOff>42446</xdr:colOff>
      <xdr:row>21</xdr:row>
      <xdr:rowOff>14822</xdr:rowOff>
    </xdr:to>
    <xdr:sp macro="" textlink="">
      <xdr:nvSpPr>
        <xdr:cNvPr id="11" name="Oval 10">
          <a:extLst>
            <a:ext uri="{FF2B5EF4-FFF2-40B4-BE49-F238E27FC236}">
              <a16:creationId xmlns:a16="http://schemas.microsoft.com/office/drawing/2014/main" id="{00000000-0008-0000-0400-00000B000000}"/>
            </a:ext>
          </a:extLst>
        </xdr:cNvPr>
        <xdr:cNvSpPr/>
      </xdr:nvSpPr>
      <xdr:spPr>
        <a:xfrm>
          <a:off x="6281392" y="4181338"/>
          <a:ext cx="714304"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841087</xdr:colOff>
      <xdr:row>42</xdr:row>
      <xdr:rowOff>172947</xdr:rowOff>
    </xdr:from>
    <xdr:to>
      <xdr:col>25</xdr:col>
      <xdr:colOff>36504</xdr:colOff>
      <xdr:row>44</xdr:row>
      <xdr:rowOff>28429</xdr:rowOff>
    </xdr:to>
    <xdr:sp macro="" textlink="">
      <xdr:nvSpPr>
        <xdr:cNvPr id="12" name="Oval 11">
          <a:extLst>
            <a:ext uri="{FF2B5EF4-FFF2-40B4-BE49-F238E27FC236}">
              <a16:creationId xmlns:a16="http://schemas.microsoft.com/office/drawing/2014/main" id="{00000000-0008-0000-0400-00000C000000}"/>
            </a:ext>
          </a:extLst>
        </xdr:cNvPr>
        <xdr:cNvSpPr/>
      </xdr:nvSpPr>
      <xdr:spPr>
        <a:xfrm>
          <a:off x="6039016" y="8316822"/>
          <a:ext cx="950738"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864052</xdr:colOff>
      <xdr:row>46</xdr:row>
      <xdr:rowOff>170088</xdr:rowOff>
    </xdr:from>
    <xdr:to>
      <xdr:col>25</xdr:col>
      <xdr:colOff>59469</xdr:colOff>
      <xdr:row>48</xdr:row>
      <xdr:rowOff>25570</xdr:rowOff>
    </xdr:to>
    <xdr:sp macro="" textlink="">
      <xdr:nvSpPr>
        <xdr:cNvPr id="13" name="Oval 12">
          <a:extLst>
            <a:ext uri="{FF2B5EF4-FFF2-40B4-BE49-F238E27FC236}">
              <a16:creationId xmlns:a16="http://schemas.microsoft.com/office/drawing/2014/main" id="{00000000-0008-0000-0400-00000D000000}"/>
            </a:ext>
          </a:extLst>
        </xdr:cNvPr>
        <xdr:cNvSpPr/>
      </xdr:nvSpPr>
      <xdr:spPr>
        <a:xfrm>
          <a:off x="6061981" y="9075963"/>
          <a:ext cx="950738"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252632</xdr:colOff>
      <xdr:row>46</xdr:row>
      <xdr:rowOff>163284</xdr:rowOff>
    </xdr:from>
    <xdr:to>
      <xdr:col>34</xdr:col>
      <xdr:colOff>20412</xdr:colOff>
      <xdr:row>48</xdr:row>
      <xdr:rowOff>18766</xdr:rowOff>
    </xdr:to>
    <xdr:sp macro="" textlink="">
      <xdr:nvSpPr>
        <xdr:cNvPr id="14" name="Oval 13">
          <a:extLst>
            <a:ext uri="{FF2B5EF4-FFF2-40B4-BE49-F238E27FC236}">
              <a16:creationId xmlns:a16="http://schemas.microsoft.com/office/drawing/2014/main" id="{00000000-0008-0000-0400-00000E000000}"/>
            </a:ext>
          </a:extLst>
        </xdr:cNvPr>
        <xdr:cNvSpPr/>
      </xdr:nvSpPr>
      <xdr:spPr>
        <a:xfrm>
          <a:off x="7321543" y="9069159"/>
          <a:ext cx="645440"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258538</xdr:colOff>
      <xdr:row>42</xdr:row>
      <xdr:rowOff>163286</xdr:rowOff>
    </xdr:from>
    <xdr:to>
      <xdr:col>34</xdr:col>
      <xdr:colOff>26318</xdr:colOff>
      <xdr:row>44</xdr:row>
      <xdr:rowOff>18768</xdr:rowOff>
    </xdr:to>
    <xdr:sp macro="" textlink="">
      <xdr:nvSpPr>
        <xdr:cNvPr id="15" name="Oval 14">
          <a:extLst>
            <a:ext uri="{FF2B5EF4-FFF2-40B4-BE49-F238E27FC236}">
              <a16:creationId xmlns:a16="http://schemas.microsoft.com/office/drawing/2014/main" id="{00000000-0008-0000-0400-00000F000000}"/>
            </a:ext>
          </a:extLst>
        </xdr:cNvPr>
        <xdr:cNvSpPr/>
      </xdr:nvSpPr>
      <xdr:spPr>
        <a:xfrm>
          <a:off x="7327449" y="8307161"/>
          <a:ext cx="645440"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50</xdr:row>
      <xdr:rowOff>0</xdr:rowOff>
    </xdr:from>
    <xdr:to>
      <xdr:col>39</xdr:col>
      <xdr:colOff>771525</xdr:colOff>
      <xdr:row>77</xdr:row>
      <xdr:rowOff>73478</xdr:rowOff>
    </xdr:to>
    <xdr:graphicFrame macro="">
      <xdr:nvGraphicFramePr>
        <xdr:cNvPr id="5" name="Chart 3">
          <a:extLst>
            <a:ext uri="{FF2B5EF4-FFF2-40B4-BE49-F238E27FC236}">
              <a16:creationId xmlns:a16="http://schemas.microsoft.com/office/drawing/2014/main" id="{1FD5C96E-E0AA-414F-B259-28169FC56F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458934</xdr:colOff>
      <xdr:row>0</xdr:row>
      <xdr:rowOff>10584</xdr:rowOff>
    </xdr:from>
    <xdr:to>
      <xdr:col>2</xdr:col>
      <xdr:colOff>778055</xdr:colOff>
      <xdr:row>0</xdr:row>
      <xdr:rowOff>329046</xdr:rowOff>
    </xdr:to>
    <xdr:pic>
      <xdr:nvPicPr>
        <xdr:cNvPr id="3" name="Graphic 4" descr="Building with solid fill">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42161" y="10584"/>
          <a:ext cx="319121" cy="318462"/>
        </a:xfrm>
        <a:prstGeom prst="rect">
          <a:avLst/>
        </a:prstGeom>
      </xdr:spPr>
    </xdr:pic>
    <xdr:clientData/>
  </xdr:twoCellAnchor>
  <xdr:twoCellAnchor>
    <xdr:from>
      <xdr:col>0</xdr:col>
      <xdr:colOff>44824</xdr:colOff>
      <xdr:row>38</xdr:row>
      <xdr:rowOff>91109</xdr:rowOff>
    </xdr:from>
    <xdr:to>
      <xdr:col>40</xdr:col>
      <xdr:colOff>33617</xdr:colOff>
      <xdr:row>66</xdr:row>
      <xdr:rowOff>107228</xdr:rowOff>
    </xdr:to>
    <xdr:graphicFrame macro="">
      <xdr:nvGraphicFramePr>
        <xdr:cNvPr id="2"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227655</xdr:colOff>
      <xdr:row>18</xdr:row>
      <xdr:rowOff>0</xdr:rowOff>
    </xdr:from>
    <xdr:to>
      <xdr:col>25</xdr:col>
      <xdr:colOff>47967</xdr:colOff>
      <xdr:row>19</xdr:row>
      <xdr:rowOff>4940</xdr:rowOff>
    </xdr:to>
    <xdr:sp macro="" textlink="">
      <xdr:nvSpPr>
        <xdr:cNvPr id="6" name="Oval 5">
          <a:extLst>
            <a:ext uri="{FF2B5EF4-FFF2-40B4-BE49-F238E27FC236}">
              <a16:creationId xmlns:a16="http://schemas.microsoft.com/office/drawing/2014/main" id="{00000000-0008-0000-0500-000006000000}"/>
            </a:ext>
          </a:extLst>
        </xdr:cNvPr>
        <xdr:cNvSpPr/>
      </xdr:nvSpPr>
      <xdr:spPr>
        <a:xfrm>
          <a:off x="6025481" y="3735457"/>
          <a:ext cx="640290" cy="195440"/>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149089</xdr:colOff>
      <xdr:row>34</xdr:row>
      <xdr:rowOff>39924</xdr:rowOff>
    </xdr:from>
    <xdr:to>
      <xdr:col>31</xdr:col>
      <xdr:colOff>35662</xdr:colOff>
      <xdr:row>36</xdr:row>
      <xdr:rowOff>14713</xdr:rowOff>
    </xdr:to>
    <xdr:sp macro="" textlink="">
      <xdr:nvSpPr>
        <xdr:cNvPr id="7" name="Oval 6">
          <a:extLst>
            <a:ext uri="{FF2B5EF4-FFF2-40B4-BE49-F238E27FC236}">
              <a16:creationId xmlns:a16="http://schemas.microsoft.com/office/drawing/2014/main" id="{00000000-0008-0000-0500-000007000000}"/>
            </a:ext>
          </a:extLst>
        </xdr:cNvPr>
        <xdr:cNvSpPr/>
      </xdr:nvSpPr>
      <xdr:spPr>
        <a:xfrm>
          <a:off x="6882850" y="6160772"/>
          <a:ext cx="640290"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808431</xdr:colOff>
      <xdr:row>34</xdr:row>
      <xdr:rowOff>43234</xdr:rowOff>
    </xdr:from>
    <xdr:to>
      <xdr:col>25</xdr:col>
      <xdr:colOff>20701</xdr:colOff>
      <xdr:row>36</xdr:row>
      <xdr:rowOff>18023</xdr:rowOff>
    </xdr:to>
    <xdr:sp macro="" textlink="">
      <xdr:nvSpPr>
        <xdr:cNvPr id="10" name="Oval 9">
          <a:extLst>
            <a:ext uri="{FF2B5EF4-FFF2-40B4-BE49-F238E27FC236}">
              <a16:creationId xmlns:a16="http://schemas.microsoft.com/office/drawing/2014/main" id="{00000000-0008-0000-0500-00000A000000}"/>
            </a:ext>
          </a:extLst>
        </xdr:cNvPr>
        <xdr:cNvSpPr/>
      </xdr:nvSpPr>
      <xdr:spPr>
        <a:xfrm>
          <a:off x="5786279" y="6164082"/>
          <a:ext cx="852226"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53066</xdr:colOff>
      <xdr:row>68</xdr:row>
      <xdr:rowOff>38175</xdr:rowOff>
    </xdr:from>
    <xdr:to>
      <xdr:col>24</xdr:col>
      <xdr:colOff>89647</xdr:colOff>
      <xdr:row>86</xdr:row>
      <xdr:rowOff>80812</xdr:rowOff>
    </xdr:to>
    <xdr:graphicFrame macro="">
      <xdr:nvGraphicFramePr>
        <xdr:cNvPr id="11" name="Chart 1">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224118</xdr:colOff>
      <xdr:row>68</xdr:row>
      <xdr:rowOff>34978</xdr:rowOff>
    </xdr:from>
    <xdr:to>
      <xdr:col>39</xdr:col>
      <xdr:colOff>555172</xdr:colOff>
      <xdr:row>86</xdr:row>
      <xdr:rowOff>92009</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444816</xdr:colOff>
      <xdr:row>0</xdr:row>
      <xdr:rowOff>3958</xdr:rowOff>
    </xdr:from>
    <xdr:to>
      <xdr:col>2</xdr:col>
      <xdr:colOff>761583</xdr:colOff>
      <xdr:row>0</xdr:row>
      <xdr:rowOff>316543</xdr:rowOff>
    </xdr:to>
    <xdr:pic>
      <xdr:nvPicPr>
        <xdr:cNvPr id="11" name="Graphic 9" descr="Court with solid fill">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15673" y="3958"/>
          <a:ext cx="316767" cy="312585"/>
        </a:xfrm>
        <a:prstGeom prst="rect">
          <a:avLst/>
        </a:prstGeom>
      </xdr:spPr>
    </xdr:pic>
    <xdr:clientData/>
  </xdr:twoCellAnchor>
  <xdr:twoCellAnchor>
    <xdr:from>
      <xdr:col>24</xdr:col>
      <xdr:colOff>106867</xdr:colOff>
      <xdr:row>19</xdr:row>
      <xdr:rowOff>180728</xdr:rowOff>
    </xdr:from>
    <xdr:to>
      <xdr:col>25</xdr:col>
      <xdr:colOff>46817</xdr:colOff>
      <xdr:row>21</xdr:row>
      <xdr:rowOff>14712</xdr:rowOff>
    </xdr:to>
    <xdr:sp macro="" textlink="">
      <xdr:nvSpPr>
        <xdr:cNvPr id="13" name="Oval 12">
          <a:extLst>
            <a:ext uri="{FF2B5EF4-FFF2-40B4-BE49-F238E27FC236}">
              <a16:creationId xmlns:a16="http://schemas.microsoft.com/office/drawing/2014/main" id="{00000000-0008-0000-0600-00000D000000}"/>
            </a:ext>
          </a:extLst>
        </xdr:cNvPr>
        <xdr:cNvSpPr/>
      </xdr:nvSpPr>
      <xdr:spPr>
        <a:xfrm>
          <a:off x="5876296" y="3432835"/>
          <a:ext cx="756378"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19050</xdr:colOff>
      <xdr:row>37</xdr:row>
      <xdr:rowOff>168497</xdr:rowOff>
    </xdr:from>
    <xdr:to>
      <xdr:col>25</xdr:col>
      <xdr:colOff>36120</xdr:colOff>
      <xdr:row>39</xdr:row>
      <xdr:rowOff>41053</xdr:rowOff>
    </xdr:to>
    <xdr:sp macro="" textlink="">
      <xdr:nvSpPr>
        <xdr:cNvPr id="14" name="Oval 13">
          <a:extLst>
            <a:ext uri="{FF2B5EF4-FFF2-40B4-BE49-F238E27FC236}">
              <a16:creationId xmlns:a16="http://schemas.microsoft.com/office/drawing/2014/main" id="{00000000-0008-0000-0600-00000E000000}"/>
            </a:ext>
          </a:extLst>
        </xdr:cNvPr>
        <xdr:cNvSpPr/>
      </xdr:nvSpPr>
      <xdr:spPr>
        <a:xfrm>
          <a:off x="6105525" y="6912197"/>
          <a:ext cx="836220" cy="253556"/>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9525</xdr:colOff>
      <xdr:row>44</xdr:row>
      <xdr:rowOff>25622</xdr:rowOff>
    </xdr:from>
    <xdr:to>
      <xdr:col>25</xdr:col>
      <xdr:colOff>26595</xdr:colOff>
      <xdr:row>46</xdr:row>
      <xdr:rowOff>41053</xdr:rowOff>
    </xdr:to>
    <xdr:sp macro="" textlink="">
      <xdr:nvSpPr>
        <xdr:cNvPr id="16" name="Oval 15">
          <a:extLst>
            <a:ext uri="{FF2B5EF4-FFF2-40B4-BE49-F238E27FC236}">
              <a16:creationId xmlns:a16="http://schemas.microsoft.com/office/drawing/2014/main" id="{00000000-0008-0000-0600-000010000000}"/>
            </a:ext>
          </a:extLst>
        </xdr:cNvPr>
        <xdr:cNvSpPr/>
      </xdr:nvSpPr>
      <xdr:spPr>
        <a:xfrm>
          <a:off x="6096000" y="7578947"/>
          <a:ext cx="836220" cy="253556"/>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72772</xdr:colOff>
      <xdr:row>37</xdr:row>
      <xdr:rowOff>180023</xdr:rowOff>
    </xdr:from>
    <xdr:to>
      <xdr:col>31</xdr:col>
      <xdr:colOff>1449</xdr:colOff>
      <xdr:row>39</xdr:row>
      <xdr:rowOff>29528</xdr:rowOff>
    </xdr:to>
    <xdr:sp macro="" textlink="">
      <xdr:nvSpPr>
        <xdr:cNvPr id="17" name="Oval 16">
          <a:extLst>
            <a:ext uri="{FF2B5EF4-FFF2-40B4-BE49-F238E27FC236}">
              <a16:creationId xmlns:a16="http://schemas.microsoft.com/office/drawing/2014/main" id="{00000000-0008-0000-0600-000011000000}"/>
            </a:ext>
          </a:extLst>
        </xdr:cNvPr>
        <xdr:cNvSpPr/>
      </xdr:nvSpPr>
      <xdr:spPr>
        <a:xfrm>
          <a:off x="7092697" y="6923723"/>
          <a:ext cx="519227" cy="230505"/>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78</xdr:row>
      <xdr:rowOff>30413</xdr:rowOff>
    </xdr:from>
    <xdr:to>
      <xdr:col>19</xdr:col>
      <xdr:colOff>779318</xdr:colOff>
      <xdr:row>98</xdr:row>
      <xdr:rowOff>103909</xdr:rowOff>
    </xdr:to>
    <xdr:graphicFrame macro="">
      <xdr:nvGraphicFramePr>
        <xdr:cNvPr id="22" name="Chart 1">
          <a:extLst>
            <a:ext uri="{FF2B5EF4-FFF2-40B4-BE49-F238E27FC236}">
              <a16:creationId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103908</xdr:colOff>
      <xdr:row>78</xdr:row>
      <xdr:rowOff>27216</xdr:rowOff>
    </xdr:from>
    <xdr:to>
      <xdr:col>39</xdr:col>
      <xdr:colOff>762000</xdr:colOff>
      <xdr:row>98</xdr:row>
      <xdr:rowOff>103909</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xdr:colOff>
      <xdr:row>48</xdr:row>
      <xdr:rowOff>0</xdr:rowOff>
    </xdr:from>
    <xdr:to>
      <xdr:col>40</xdr:col>
      <xdr:colOff>1</xdr:colOff>
      <xdr:row>76</xdr:row>
      <xdr:rowOff>17318</xdr:rowOff>
    </xdr:to>
    <xdr:graphicFrame macro="">
      <xdr:nvGraphicFramePr>
        <xdr:cNvPr id="3" name="Chart 1">
          <a:extLst>
            <a:ext uri="{FF2B5EF4-FFF2-40B4-BE49-F238E27FC236}">
              <a16:creationId xmlns:a16="http://schemas.microsoft.com/office/drawing/2014/main" id="{A096ECE3-2260-42E1-9869-800337CB7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24</xdr:col>
      <xdr:colOff>107012</xdr:colOff>
      <xdr:row>19</xdr:row>
      <xdr:rowOff>180733</xdr:rowOff>
    </xdr:from>
    <xdr:to>
      <xdr:col>25</xdr:col>
      <xdr:colOff>49526</xdr:colOff>
      <xdr:row>21</xdr:row>
      <xdr:rowOff>14717</xdr:rowOff>
    </xdr:to>
    <xdr:sp macro="" textlink="">
      <xdr:nvSpPr>
        <xdr:cNvPr id="9" name="Oval 8">
          <a:extLst>
            <a:ext uri="{FF2B5EF4-FFF2-40B4-BE49-F238E27FC236}">
              <a16:creationId xmlns:a16="http://schemas.microsoft.com/office/drawing/2014/main" id="{00000000-0008-0000-0700-000009000000}"/>
            </a:ext>
          </a:extLst>
        </xdr:cNvPr>
        <xdr:cNvSpPr/>
      </xdr:nvSpPr>
      <xdr:spPr>
        <a:xfrm>
          <a:off x="5876441" y="3432840"/>
          <a:ext cx="758942"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36</xdr:row>
      <xdr:rowOff>169752</xdr:rowOff>
    </xdr:from>
    <xdr:to>
      <xdr:col>25</xdr:col>
      <xdr:colOff>17069</xdr:colOff>
      <xdr:row>38</xdr:row>
      <xdr:rowOff>42308</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5799876" y="5894183"/>
          <a:ext cx="837540" cy="249783"/>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43</xdr:row>
      <xdr:rowOff>28462</xdr:rowOff>
    </xdr:from>
    <xdr:to>
      <xdr:col>25</xdr:col>
      <xdr:colOff>18577</xdr:colOff>
      <xdr:row>45</xdr:row>
      <xdr:rowOff>29632</xdr:rowOff>
    </xdr:to>
    <xdr:sp macro="" textlink="">
      <xdr:nvSpPr>
        <xdr:cNvPr id="11" name="Oval 10">
          <a:extLst>
            <a:ext uri="{FF2B5EF4-FFF2-40B4-BE49-F238E27FC236}">
              <a16:creationId xmlns:a16="http://schemas.microsoft.com/office/drawing/2014/main" id="{00000000-0008-0000-0700-00000B000000}"/>
            </a:ext>
          </a:extLst>
        </xdr:cNvPr>
        <xdr:cNvSpPr/>
      </xdr:nvSpPr>
      <xdr:spPr>
        <a:xfrm>
          <a:off x="5799876" y="6554502"/>
          <a:ext cx="839048" cy="236937"/>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57034</xdr:colOff>
      <xdr:row>44</xdr:row>
      <xdr:rowOff>4322</xdr:rowOff>
    </xdr:from>
    <xdr:to>
      <xdr:col>31</xdr:col>
      <xdr:colOff>9428</xdr:colOff>
      <xdr:row>45</xdr:row>
      <xdr:rowOff>0</xdr:rowOff>
    </xdr:to>
    <xdr:sp macro="" textlink="">
      <xdr:nvSpPr>
        <xdr:cNvPr id="12" name="Oval 11">
          <a:extLst>
            <a:ext uri="{FF2B5EF4-FFF2-40B4-BE49-F238E27FC236}">
              <a16:creationId xmlns:a16="http://schemas.microsoft.com/office/drawing/2014/main" id="{00000000-0008-0000-0700-00000C000000}"/>
            </a:ext>
          </a:extLst>
        </xdr:cNvPr>
        <xdr:cNvSpPr/>
      </xdr:nvSpPr>
      <xdr:spPr>
        <a:xfrm>
          <a:off x="6790549" y="6577515"/>
          <a:ext cx="574820" cy="20643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77</xdr:row>
      <xdr:rowOff>11480</xdr:rowOff>
    </xdr:from>
    <xdr:to>
      <xdr:col>19</xdr:col>
      <xdr:colOff>762000</xdr:colOff>
      <xdr:row>95</xdr:row>
      <xdr:rowOff>103909</xdr:rowOff>
    </xdr:to>
    <xdr:graphicFrame macro="">
      <xdr:nvGraphicFramePr>
        <xdr:cNvPr id="4" name="Chart 1">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103910</xdr:colOff>
      <xdr:row>77</xdr:row>
      <xdr:rowOff>8284</xdr:rowOff>
    </xdr:from>
    <xdr:to>
      <xdr:col>39</xdr:col>
      <xdr:colOff>744682</xdr:colOff>
      <xdr:row>95</xdr:row>
      <xdr:rowOff>103909</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448235</xdr:colOff>
      <xdr:row>0</xdr:row>
      <xdr:rowOff>0</xdr:rowOff>
    </xdr:from>
    <xdr:to>
      <xdr:col>2</xdr:col>
      <xdr:colOff>765002</xdr:colOff>
      <xdr:row>0</xdr:row>
      <xdr:rowOff>312585</xdr:rowOff>
    </xdr:to>
    <xdr:pic>
      <xdr:nvPicPr>
        <xdr:cNvPr id="2" name="Graphic 9" descr="Court with solid fill">
          <a:extLst>
            <a:ext uri="{FF2B5EF4-FFF2-40B4-BE49-F238E27FC236}">
              <a16:creationId xmlns:a16="http://schemas.microsoft.com/office/drawing/2014/main" id="{0E4BC8EB-C6F9-49CE-B511-DD7F8E8AD43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22294" y="0"/>
          <a:ext cx="316767" cy="312585"/>
        </a:xfrm>
        <a:prstGeom prst="rect">
          <a:avLst/>
        </a:prstGeom>
      </xdr:spPr>
    </xdr:pic>
    <xdr:clientData/>
  </xdr:twoCellAnchor>
  <xdr:twoCellAnchor>
    <xdr:from>
      <xdr:col>1</xdr:col>
      <xdr:colOff>0</xdr:colOff>
      <xdr:row>47</xdr:row>
      <xdr:rowOff>0</xdr:rowOff>
    </xdr:from>
    <xdr:to>
      <xdr:col>40</xdr:col>
      <xdr:colOff>17319</xdr:colOff>
      <xdr:row>75</xdr:row>
      <xdr:rowOff>14639</xdr:rowOff>
    </xdr:to>
    <xdr:graphicFrame macro="">
      <xdr:nvGraphicFramePr>
        <xdr:cNvPr id="3" name="Chart 2">
          <a:extLst>
            <a:ext uri="{FF2B5EF4-FFF2-40B4-BE49-F238E27FC236}">
              <a16:creationId xmlns:a16="http://schemas.microsoft.com/office/drawing/2014/main" id="{02FD8823-9381-462A-AB45-FC66A024B6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24</xdr:col>
      <xdr:colOff>233253</xdr:colOff>
      <xdr:row>22</xdr:row>
      <xdr:rowOff>2114</xdr:rowOff>
    </xdr:from>
    <xdr:to>
      <xdr:col>25</xdr:col>
      <xdr:colOff>46123</xdr:colOff>
      <xdr:row>24</xdr:row>
      <xdr:rowOff>11641</xdr:rowOff>
    </xdr:to>
    <xdr:sp macro="" textlink="">
      <xdr:nvSpPr>
        <xdr:cNvPr id="2" name="Oval 1">
          <a:extLst>
            <a:ext uri="{FF2B5EF4-FFF2-40B4-BE49-F238E27FC236}">
              <a16:creationId xmlns:a16="http://schemas.microsoft.com/office/drawing/2014/main" id="{00000000-0008-0000-0800-000002000000}"/>
            </a:ext>
          </a:extLst>
        </xdr:cNvPr>
        <xdr:cNvSpPr/>
      </xdr:nvSpPr>
      <xdr:spPr>
        <a:xfrm>
          <a:off x="6015488" y="3733673"/>
          <a:ext cx="630900" cy="200027"/>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49</xdr:row>
      <xdr:rowOff>33618</xdr:rowOff>
    </xdr:from>
    <xdr:to>
      <xdr:col>25</xdr:col>
      <xdr:colOff>21018</xdr:colOff>
      <xdr:row>51</xdr:row>
      <xdr:rowOff>35231</xdr:rowOff>
    </xdr:to>
    <xdr:sp macro="" textlink="">
      <xdr:nvSpPr>
        <xdr:cNvPr id="5" name="Oval 4">
          <a:extLst>
            <a:ext uri="{FF2B5EF4-FFF2-40B4-BE49-F238E27FC236}">
              <a16:creationId xmlns:a16="http://schemas.microsoft.com/office/drawing/2014/main" id="{00000000-0008-0000-0800-000005000000}"/>
            </a:ext>
          </a:extLst>
        </xdr:cNvPr>
        <xdr:cNvSpPr/>
      </xdr:nvSpPr>
      <xdr:spPr>
        <a:xfrm>
          <a:off x="5782235" y="6566647"/>
          <a:ext cx="839048" cy="236937"/>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39</xdr:row>
      <xdr:rowOff>179294</xdr:rowOff>
    </xdr:from>
    <xdr:to>
      <xdr:col>25</xdr:col>
      <xdr:colOff>21018</xdr:colOff>
      <xdr:row>44</xdr:row>
      <xdr:rowOff>33617</xdr:rowOff>
    </xdr:to>
    <xdr:sp macro="" textlink="">
      <xdr:nvSpPr>
        <xdr:cNvPr id="6" name="Oval 5">
          <a:extLst>
            <a:ext uri="{FF2B5EF4-FFF2-40B4-BE49-F238E27FC236}">
              <a16:creationId xmlns:a16="http://schemas.microsoft.com/office/drawing/2014/main" id="{00000000-0008-0000-0800-000006000000}"/>
            </a:ext>
          </a:extLst>
        </xdr:cNvPr>
        <xdr:cNvSpPr/>
      </xdr:nvSpPr>
      <xdr:spPr>
        <a:xfrm>
          <a:off x="5782235" y="5905500"/>
          <a:ext cx="839048" cy="235323"/>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22412</xdr:colOff>
      <xdr:row>39</xdr:row>
      <xdr:rowOff>179294</xdr:rowOff>
    </xdr:from>
    <xdr:to>
      <xdr:col>31</xdr:col>
      <xdr:colOff>6821</xdr:colOff>
      <xdr:row>44</xdr:row>
      <xdr:rowOff>22413</xdr:rowOff>
    </xdr:to>
    <xdr:sp macro="" textlink="">
      <xdr:nvSpPr>
        <xdr:cNvPr id="7" name="Oval 6">
          <a:extLst>
            <a:ext uri="{FF2B5EF4-FFF2-40B4-BE49-F238E27FC236}">
              <a16:creationId xmlns:a16="http://schemas.microsoft.com/office/drawing/2014/main" id="{00000000-0008-0000-0800-000007000000}"/>
            </a:ext>
          </a:extLst>
        </xdr:cNvPr>
        <xdr:cNvSpPr/>
      </xdr:nvSpPr>
      <xdr:spPr>
        <a:xfrm>
          <a:off x="6734736" y="5905500"/>
          <a:ext cx="578320" cy="224119"/>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xdr:colOff>
      <xdr:row>87</xdr:row>
      <xdr:rowOff>3197</xdr:rowOff>
    </xdr:from>
    <xdr:to>
      <xdr:col>19</xdr:col>
      <xdr:colOff>778565</xdr:colOff>
      <xdr:row>105</xdr:row>
      <xdr:rowOff>124239</xdr:rowOff>
    </xdr:to>
    <xdr:graphicFrame macro="">
      <xdr:nvGraphicFramePr>
        <xdr:cNvPr id="9" name="Chart 1">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41414</xdr:colOff>
      <xdr:row>86</xdr:row>
      <xdr:rowOff>198782</xdr:rowOff>
    </xdr:from>
    <xdr:to>
      <xdr:col>39</xdr:col>
      <xdr:colOff>778566</xdr:colOff>
      <xdr:row>105</xdr:row>
      <xdr:rowOff>124238</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452234</xdr:colOff>
      <xdr:row>0</xdr:row>
      <xdr:rowOff>0</xdr:rowOff>
    </xdr:from>
    <xdr:to>
      <xdr:col>2</xdr:col>
      <xdr:colOff>769001</xdr:colOff>
      <xdr:row>0</xdr:row>
      <xdr:rowOff>312585</xdr:rowOff>
    </xdr:to>
    <xdr:pic>
      <xdr:nvPicPr>
        <xdr:cNvPr id="3" name="Graphic 9" descr="Court with solid fill">
          <a:extLst>
            <a:ext uri="{FF2B5EF4-FFF2-40B4-BE49-F238E27FC236}">
              <a16:creationId xmlns:a16="http://schemas.microsoft.com/office/drawing/2014/main" id="{FF707FF1-F73A-4595-90EE-433E7D03A12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23091" y="0"/>
          <a:ext cx="316767" cy="312585"/>
        </a:xfrm>
        <a:prstGeom prst="rect">
          <a:avLst/>
        </a:prstGeom>
      </xdr:spPr>
    </xdr:pic>
    <xdr:clientData/>
  </xdr:twoCellAnchor>
  <xdr:twoCellAnchor>
    <xdr:from>
      <xdr:col>1</xdr:col>
      <xdr:colOff>0</xdr:colOff>
      <xdr:row>56</xdr:row>
      <xdr:rowOff>190500</xdr:rowOff>
    </xdr:from>
    <xdr:to>
      <xdr:col>40</xdr:col>
      <xdr:colOff>8282</xdr:colOff>
      <xdr:row>85</xdr:row>
      <xdr:rowOff>22922</xdr:rowOff>
    </xdr:to>
    <xdr:graphicFrame macro="">
      <xdr:nvGraphicFramePr>
        <xdr:cNvPr id="4" name="Chart 3">
          <a:extLst>
            <a:ext uri="{FF2B5EF4-FFF2-40B4-BE49-F238E27FC236}">
              <a16:creationId xmlns:a16="http://schemas.microsoft.com/office/drawing/2014/main" id="{2BA48F15-D654-4C54-9FC7-CF90012C2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ain, Chaitanya" id="{E858530C-096F-4213-92BD-4CF83853EC03}" userId="S::cjain@microstrategy.com::3d72cb0e-f37f-46fc-b936-fa08c37b911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H6" dT="2024-08-29T14:15:20.67" personId="{E858530C-096F-4213-92BD-4CF83853EC03}" id="{93520EBE-85CA-4090-9386-6EB277666FF0}">
    <text>The BTC and Macro models drive each of the Micro Models.</text>
  </threadedComment>
</ThreadedComments>
</file>

<file path=xl/threadedComments/threadedComment2.xml><?xml version="1.0" encoding="utf-8"?>
<ThreadedComments xmlns="http://schemas.microsoft.com/office/spreadsheetml/2018/threadedcomments" xmlns:x="http://schemas.openxmlformats.org/spreadsheetml/2006/main">
  <threadedComment ref="V2" dT="2024-08-30T13:38:16.06" personId="{E858530C-096F-4213-92BD-4CF83853EC03}" id="{59D574FF-161C-4FED-9929-DD7401242658}">
    <text>Save the file or run the calculations to update this chart.</text>
  </threadedComment>
  <threadedComment ref="N3" dT="2024-08-30T13:37:54.47" personId="{E858530C-096F-4213-92BD-4CF83853EC03}" id="{D1C99175-D4FA-4FB0-86BA-CE1FF3CD0180}">
    <text>Save the file or run the calculations to update this results table.</text>
  </threadedComment>
  <threadedComment ref="F9" dT="2024-08-29T14:13:00.69" personId="{E858530C-096F-4213-92BD-4CF83853EC03}" id="{9E167CF5-5566-4822-960A-C2CE7AF8C688}">
    <text>ARR assumed to be ~2x the expected growth rate of S&amp;P 500 index (~10%) at steady state.</text>
  </threadedComment>
</ThreadedComments>
</file>

<file path=xl/threadedComments/threadedComment3.xml><?xml version="1.0" encoding="utf-8"?>
<ThreadedComments xmlns="http://schemas.microsoft.com/office/spreadsheetml/2018/threadedcomments" xmlns:x="http://schemas.openxmlformats.org/spreadsheetml/2006/main">
  <threadedComment ref="N4" dT="2024-07-31T23:13:40.69" personId="{E858530C-096F-4213-92BD-4CF83853EC03}" id="{6C16B178-5312-467C-B4F2-F2265CC67F10}">
    <text>Monetization refers to the incremental YoY growth of an asset’s market cap over and above the inflation growth and innovation growth. 
An asset’s market cap growth = inflation growth + innovation growth + this monetization factor</text>
  </threadedComment>
  <threadedComment ref="AD4" dT="2024-07-31T23:14:25.77" personId="{E858530C-096F-4213-92BD-4CF83853EC03}" id="{0409C670-1557-49C1-A0E5-FE5FD9E637D1}">
    <text>Asset dilution refers to the increase in existing stock through new supply. 
Implied ARR % = (1+market cap growth %)/(1+asset dilution %) - 1</text>
  </threadedComment>
  <threadedComment ref="B8" dT="2024-08-29T14:17:31.25" personId="{E858530C-096F-4213-92BD-4CF83853EC03}" id="{836C2404-4A72-4982-95A1-5AF986AF64BC}">
    <text>Innovation growth is driven by an AI productivity boost.</text>
  </threadedComment>
  <threadedComment ref="AF10" dT="2024-07-31T23:16:13.27" personId="{E858530C-096F-4213-92BD-4CF83853EC03}" id="{A48429B9-9096-4102-B0C6-42C558E2851F}">
    <text>Yield or interest rate are not inputs or drivers for other values in the Macro model. It doesn’t impact the growth in market cap of bonds or currencies. However, it is an important input in the Micro models to calculate the pre-tax interest income generated by holding these assets.</text>
  </threadedComment>
  <threadedComment ref="C11" dT="2024-07-31T23:15:08.74" personId="{E858530C-096F-4213-92BD-4CF83853EC03}" id="{86AA1348-C559-4FB1-ACD2-34AC336919D4}">
    <text>Gold, art, equity, and real estate are impacted by entropy.</text>
  </threadedComment>
  <threadedComment ref="C12" dT="2024-07-31T23:15:19.26" personId="{E858530C-096F-4213-92BD-4CF83853EC03}" id="{051FC72D-E62A-423A-B264-1C75AA377D8B}">
    <text>Bonds and currencies are impacted by inflation.</text>
  </threadedComment>
  <threadedComment ref="C13" dT="2024-08-29T14:07:48.84" personId="{E858530C-096F-4213-92BD-4CF83853EC03}" id="{5337F74F-DA31-4F72-AB7C-F4282CA1CF2B}">
    <text>Custody cost for Bitcoin.</text>
  </threadedComment>
  <threadedComment ref="B36" dT="2024-08-29T14:21:19.13" personId="{E858530C-096F-4213-92BD-4CF83853EC03}" id="{F3AA574C-F02C-4399-83D7-FE94FA956319}">
    <text>The Annual Inefficiency is not an input or driver for other values in any of the Macro or Micro models.</text>
  </threadedComment>
</ThreadedComments>
</file>

<file path=xl/threadedComments/threadedComment4.xml><?xml version="1.0" encoding="utf-8"?>
<ThreadedComments xmlns="http://schemas.microsoft.com/office/spreadsheetml/2018/threadedcomments" xmlns:x="http://schemas.openxmlformats.org/spreadsheetml/2006/main">
  <threadedComment ref="J1" dT="2024-08-29T14:15:57.67" personId="{E858530C-096F-4213-92BD-4CF83853EC03}" id="{8ED7FC7B-FB85-442C-9ACD-338E7F8E23D2}">
    <text>The BTC and Macro models drive the Micro Models.</text>
  </threadedComment>
  <threadedComment ref="Z4" dT="2024-07-31T23:11:03.42" personId="{E858530C-096F-4213-92BD-4CF83853EC03}" id="{DA6E171A-18CA-4EAA-AADC-E22D7E4E4CCF}">
    <text>Outstanding mortgage is assumed to be 50% of real estate value.</text>
  </threadedComment>
  <threadedComment ref="Z5" dT="2024-08-01T02:03:23.41" personId="{E858530C-096F-4213-92BD-4CF83853EC03}" id="{F1751D32-F057-4B85-95A0-C208905B9358}">
    <text>Interest expense is assumed to accrue each year.</text>
  </threadedComment>
  <threadedComment ref="C9" dT="2024-07-31T23:10:43.79" personId="{E858530C-096F-4213-92BD-4CF83853EC03}" id="{12223677-6C8D-483D-861E-67BE6907792B}">
    <text xml:space="preserve">Income tax % is applicable to income from bonds and currency. Note that the savings rate is a separate assumption that is listed below. </text>
  </threadedComment>
  <threadedComment ref="D12" dT="2024-08-01T00:50:24.04" personId="{E858530C-096F-4213-92BD-4CF83853EC03}" id="{681F1417-8ADE-4F7C-B5A8-2DDF7A8A1D0B}">
    <text>% of portfolio (excluding real estate and starting BTC) that is converted to BTC.</text>
  </threadedComment>
  <threadedComment ref="D13" dT="2024-08-01T02:01:22.05" personId="{E858530C-096F-4213-92BD-4CF83853EC03}" id="{55F6699F-9456-4E80-A4B6-ACBDF2377719}">
    <text>Remaining earnings are swept to traditional assets (excluding real estate) in the same proportion as the starting portfolio allocation.</text>
  </threadedComment>
  <threadedComment ref="D15" dT="2024-07-31T23:23:20.65" personId="{E858530C-096F-4213-92BD-4CF83853EC03}" id="{27256B8B-4523-4CBC-8D10-0CDDC2920D63}">
    <text>% of annual earnings that is saved each year post taxes, expenses, etc. and is hence “excess earnings”.</text>
  </threadedComment>
  <threadedComment ref="Y15" dT="2024-08-07T15:45:14.26" personId="{E858530C-096F-4213-92BD-4CF83853EC03}" id="{7F8B02B8-3515-4106-AB25-5C969D2260C9}">
    <text>By moving to a lower tax jurisdiction.</text>
  </threadedComment>
</ThreadedComments>
</file>

<file path=xl/threadedComments/threadedComment5.xml><?xml version="1.0" encoding="utf-8"?>
<ThreadedComments xmlns="http://schemas.microsoft.com/office/spreadsheetml/2018/threadedcomments" xmlns:x="http://schemas.openxmlformats.org/spreadsheetml/2006/main">
  <threadedComment ref="E1" dT="2024-08-29T14:16:15.34" personId="{E858530C-096F-4213-92BD-4CF83853EC03}" id="{862F08E7-8A05-4559-9B52-3214443F3616}">
    <text>The BTC and Macro models drive the Micro Models.</text>
  </threadedComment>
  <threadedComment ref="C4" dT="2024-08-01T19:36:11.25" personId="{E858530C-096F-4213-92BD-4CF83853EC03}" id="{6B3F4390-6247-4F17-B931-426D51198B93}">
    <text>Cash flow to firm before interest expense/income, debt issuance/repayment, equity issuance, dividends.</text>
  </threadedComment>
  <threadedComment ref="J5" dT="2024-08-01T19:57:57.91" personId="{E858530C-096F-4213-92BD-4CF83853EC03}" id="{74C6ADB4-45CC-4224-9507-85272BA40287}">
    <text>Opening debt for 2024</text>
  </threadedComment>
  <threadedComment ref="Y5" dT="2024-08-01T20:19:10.22" personId="{E858530C-096F-4213-92BD-4CF83853EC03}" id="{944FBB77-C12C-4DB9-AD52-AD58CA95D7BC}">
    <text>Pre-tax yield is an input from the Macro model</text>
  </threadedComment>
  <threadedComment ref="C7" dT="2024-08-01T20:23:23.15" personId="{E858530C-096F-4213-92BD-4CF83853EC03}" id="{B046837B-5496-45F9-9DA9-5D74DA78CD91}">
    <text>Assumed to be constant throughout the period.</text>
  </threadedComment>
  <threadedComment ref="J7" dT="2024-08-01T19:58:06.24" personId="{E858530C-096F-4213-92BD-4CF83853EC03}" id="{2B016F66-956B-4523-B436-6164887E469A}">
    <text>Opening cash for 2024.</text>
  </threadedComment>
  <threadedComment ref="C8" dT="2024-08-01T19:58:31.11" personId="{E858530C-096F-4213-92BD-4CF83853EC03}" id="{08065786-9C82-4048-B444-37FB32803699}">
    <text>Opening share price for 2024.</text>
  </threadedComment>
  <threadedComment ref="C11" dT="2024-08-01T20:11:30.82" personId="{E858530C-096F-4213-92BD-4CF83853EC03}" id="{325D0165-B422-42C2-8A0E-F6640C0081F0}">
    <text>% of opening cash converted to BTC in 2024. This excludes the starting BTC assumption.</text>
  </threadedComment>
  <threadedComment ref="C12" dT="2024-08-01T19:15:08.03" personId="{E858530C-096F-4213-92BD-4CF83853EC03}" id="{7B8A2A46-3E8D-4AC2-AE01-77C951A371BA}">
    <text>% of cash flow invested in BTC each year. Remaining % is given out as dividends each year.</text>
  </threadedComment>
  <threadedComment ref="C13" dT="2024-08-01T20:15:59.11" personId="{E858530C-096F-4213-92BD-4CF83853EC03}" id="{B00848D6-0B11-4D90-BA43-06593B889F75}">
    <text>Equity dilution each year as a % of that year’s opening sharecount.</text>
  </threadedComment>
  <threadedComment ref="C14" dT="2024-08-01T19:16:18.44" personId="{E858530C-096F-4213-92BD-4CF83853EC03}" id="{CFF65DC6-B944-4715-AA40-D7253D20F8BD}">
    <text>Premium ascribed to the BTC NAV (i.e. BTC + Cash - Debt) for calculating the market cap.
BTC NAV Premium = (Market Cap - Market Value of Operations) / (Market Value of BTC + Cash - Debt) - 1</text>
  </threadedComment>
  <threadedComment ref="C15" dT="2024-08-01T20:54:14.08" personId="{E858530C-096F-4213-92BD-4CF83853EC03}" id="{272F0224-EC1E-4BD6-9167-AA4DD429A252}">
    <text>The LTV cap is applied on net debt as % of BTC.</text>
  </threadedComment>
  <threadedComment ref="C23" dT="2024-08-01T20:05:40.98" personId="{E858530C-096F-4213-92BD-4CF83853EC03}" id="{38B5FF02-BECB-4822-95B1-FFBDDDEAE4AF}">
    <text>Closing value, i.e. as of the end of period.</text>
  </threadedComment>
  <threadedComment ref="C34" dT="2024-08-01T20:15:20.29" personId="{E858530C-096F-4213-92BD-4CF83853EC03}" id="{B8B251E6-F764-4603-B27C-00F45D5083AC}">
    <text>Issuance assumed to be at the closing share price for the respective year.</text>
  </threadedComment>
  <threadedComment ref="C40" dT="2024-08-01T21:18:46.53" personId="{E858530C-096F-4213-92BD-4CF83853EC03}" id="{EEA48D24-C308-46DB-A15B-EAAE31E297DC}">
    <text>Calculated as (Valuation multiple) x (Cash Flows).</text>
  </threadedComment>
  <threadedComment ref="C45" dT="2024-08-01T21:28:05.55" personId="{E858530C-096F-4213-92BD-4CF83853EC03}" id="{893290DF-0D9E-4C79-8F58-A8A8EB1618D7}">
    <text>Increases due to equity dilution.</text>
  </threadedComment>
  <threadedComment ref="C48" dT="2024-08-01T20:30:25.14" personId="{E858530C-096F-4213-92BD-4CF83853EC03}" id="{B1C39561-48E4-43D7-8952-CEC32CD72B4D}">
    <text>Adjusted for dividends by assuming dividends are reinvested each year at the prevalent share price.</text>
  </threadedComment>
</ThreadedComments>
</file>

<file path=xl/threadedComments/threadedComment6.xml><?xml version="1.0" encoding="utf-8"?>
<ThreadedComments xmlns="http://schemas.microsoft.com/office/spreadsheetml/2018/threadedcomments" xmlns:x="http://schemas.openxmlformats.org/spreadsheetml/2006/main">
  <threadedComment ref="J1" dT="2024-08-29T14:16:20.35" personId="{E858530C-096F-4213-92BD-4CF83853EC03}" id="{7AEB7721-163E-43E3-8A3B-6D7019C70EED}">
    <text>The BTC and Macro models drive the Micro Models.</text>
  </threadedComment>
  <threadedComment ref="D6" dT="2024-08-02T03:09:24.14" personId="{E858530C-096F-4213-92BD-4CF83853EC03}" id="{251F229D-A570-4691-8653-EE0BE529874F}">
    <text>Input positive value here.</text>
  </threadedComment>
  <threadedComment ref="D7" dT="2024-08-02T03:09:13.70" personId="{E858530C-096F-4213-92BD-4CF83853EC03}" id="{100881A8-3866-4D08-ACCF-1FAFA94969ED}">
    <text>Interest expense is assumed to accrue each year.</text>
  </threadedComment>
  <threadedComment ref="C12" dT="2024-08-07T19:59:01.59" personId="{E858530C-096F-4213-92BD-4CF83853EC03}" id="{FA129682-1702-4F0B-B343-4F662C9A97AC}">
    <text>% of portfolio (excluding starting BTC) that is converted to BTC.</text>
  </threadedComment>
</ThreadedComments>
</file>

<file path=xl/threadedComments/threadedComment7.xml><?xml version="1.0" encoding="utf-8"?>
<ThreadedComments xmlns="http://schemas.microsoft.com/office/spreadsheetml/2018/threadedcomments" xmlns:x="http://schemas.openxmlformats.org/spreadsheetml/2006/main">
  <threadedComment ref="E1" dT="2024-08-29T14:16:25.39" personId="{E858530C-096F-4213-92BD-4CF83853EC03}" id="{BA84EA3D-B266-45C1-85E0-4478F1408DA0}">
    <text>The BTC and Macro models drive the Micro Models.</text>
  </threadedComment>
  <threadedComment ref="C6" dT="2024-08-02T22:41:01.85" personId="{E858530C-096F-4213-92BD-4CF83853EC03}" id="{4D55A4D8-1390-4656-9D51-8B41245B39F3}">
    <text>Excluding interest expense.</text>
  </threadedComment>
  <threadedComment ref="D6" dT="2024-08-05T04:52:41.25" personId="{E858530C-096F-4213-92BD-4CF83853EC03}" id="{13A33B62-FEF2-4035-AB74-CF54FB757554}">
    <text>Input negative number.</text>
  </threadedComment>
  <threadedComment ref="Y6" dT="2024-08-02T22:42:57.67" personId="{E858530C-096F-4213-92BD-4CF83853EC03}" id="{0F2F280A-84FB-4B1B-BFA0-BA40B4CC7A75}">
    <text>Excluding interest expense.</text>
  </threadedComment>
  <threadedComment ref="C7" dT="2024-08-02T23:09:15.86" personId="{E858530C-096F-4213-92BD-4CF83853EC03}" id="{06C18D51-2B64-4655-B978-17B60E494B50}">
    <text>Opening debt at the start of 2024.</text>
  </threadedComment>
  <threadedComment ref="D7" dT="2024-08-02T23:00:04.79" personId="{E858530C-096F-4213-92BD-4CF83853EC03}" id="{00BE28E5-F386-4FC1-96AE-31F60857CBD5}">
    <text>Input negative number.</text>
  </threadedComment>
  <threadedComment ref="C9" dT="2024-08-02T23:09:24.39" personId="{E858530C-096F-4213-92BD-4CF83853EC03}" id="{518946EF-44DA-44E5-8BEB-9DB7D733318A}">
    <text>Opening assets at the start of 2024.</text>
  </threadedComment>
  <threadedComment ref="C11" dT="2024-08-07T20:00:00.98" personId="{E858530C-096F-4213-92BD-4CF83853EC03}" id="{4E90F9D8-299A-4608-96AC-B146237A78B6}">
    <text>% of Treasury (excluding starting BTC) that is converted to BTC.</text>
  </threadedComment>
  <threadedComment ref="C12" dT="2024-08-05T05:54:52.71" personId="{E858530C-096F-4213-92BD-4CF83853EC03}" id="{4F1CC1A9-FCD7-404F-9995-AA62C32CE0F5}">
    <text xml:space="preserve">Conversion program starts in 2025. </text>
  </threadedComment>
  <threadedComment ref="B25" dT="2024-08-02T22:59:05.58" personId="{E858530C-096F-4213-92BD-4CF83853EC03}" id="{2B898363-2A32-41EC-860D-5C21FCFA534F}">
    <text>Excluding interest expense.</text>
  </threadedComment>
</ThreadedComments>
</file>

<file path=xl/threadedComments/threadedComment8.xml><?xml version="1.0" encoding="utf-8"?>
<ThreadedComments xmlns="http://schemas.microsoft.com/office/spreadsheetml/2018/threadedcomments" xmlns:x="http://schemas.openxmlformats.org/spreadsheetml/2006/main">
  <threadedComment ref="E1" dT="2024-08-29T14:16:30.75" personId="{E858530C-096F-4213-92BD-4CF83853EC03}" id="{F5474AE1-A998-41A0-A0BA-2DE3E4E22716}">
    <text>The BTC and Macro models drive the Micro Models.</text>
  </threadedComment>
  <threadedComment ref="C6" dT="2024-08-02T22:41:01.85" personId="{E858530C-096F-4213-92BD-4CF83853EC03}" id="{886569AC-676D-419B-8D2E-780B46AFC573}">
    <text>Excluding interest expense.</text>
  </threadedComment>
  <threadedComment ref="D6" dT="2024-08-05T04:52:54.61" personId="{E858530C-096F-4213-92BD-4CF83853EC03}" id="{6A312D38-834A-467A-922B-0AC07BEDC291}">
    <text>Input negative number.</text>
  </threadedComment>
  <threadedComment ref="Y6" dT="2024-08-02T22:42:57.67" personId="{E858530C-096F-4213-92BD-4CF83853EC03}" id="{D9564E0C-305E-4BB4-B5A0-F03FFA94EA38}">
    <text>Excluding interest expense.</text>
  </threadedComment>
  <threadedComment ref="C7" dT="2024-08-02T23:09:15.86" personId="{E858530C-096F-4213-92BD-4CF83853EC03}" id="{EBD5018F-A3C6-435B-9283-C57CAB617B1E}">
    <text>Opening debt at the start of 2024.</text>
  </threadedComment>
  <threadedComment ref="D7" dT="2024-08-05T04:53:04.46" personId="{E858530C-096F-4213-92BD-4CF83853EC03}" id="{4FCBE467-CDDB-40E1-9112-58A199D6069F}">
    <text>Input negative number.</text>
  </threadedComment>
  <threadedComment ref="C9" dT="2024-08-02T23:09:24.39" personId="{E858530C-096F-4213-92BD-4CF83853EC03}" id="{48C454EF-9F61-4CA1-98D8-42663B42127C}">
    <text>Opening assets at the start of 2024.</text>
  </threadedComment>
  <threadedComment ref="C11" dT="2024-08-07T19:59:33.78" personId="{E858530C-096F-4213-92BD-4CF83853EC03}" id="{36469914-CD59-4903-8DB0-56CF29862718}">
    <text>% of Treasury (excluding starting BTC) that is converted to BTC.</text>
  </threadedComment>
  <threadedComment ref="C12" dT="2024-08-05T05:54:52.71" personId="{E858530C-096F-4213-92BD-4CF83853EC03}" id="{2FBA5B49-5BEB-41ED-A9BC-9F7D02920EFC}">
    <text>Conversion program starts in 2025.</text>
  </threadedComment>
  <threadedComment ref="B25" dT="2024-08-02T22:59:05.58" personId="{E858530C-096F-4213-92BD-4CF83853EC03}" id="{856B648C-AF36-4EFB-B653-A632E69CCE03}">
    <text>Excluding interest expense.</text>
  </threadedComment>
</ThreadedComments>
</file>

<file path=xl/threadedComments/threadedComment9.xml><?xml version="1.0" encoding="utf-8"?>
<ThreadedComments xmlns="http://schemas.microsoft.com/office/spreadsheetml/2018/threadedcomments" xmlns:x="http://schemas.openxmlformats.org/spreadsheetml/2006/main">
  <threadedComment ref="E1" dT="2024-08-29T14:16:34.83" personId="{E858530C-096F-4213-92BD-4CF83853EC03}" id="{5562AC8A-369B-4750-84BC-BEE4F0B0D841}">
    <text>The BTC and Macro models drive the Micro Models.</text>
  </threadedComment>
  <threadedComment ref="C5" dT="2024-08-02T22:41:01.85" personId="{E858530C-096F-4213-92BD-4CF83853EC03}" id="{00DA8426-EFB6-4E58-AE5B-166BF25BA891}">
    <text>Excluding interest expense.</text>
  </threadedComment>
  <threadedComment ref="D5" dT="2024-08-05T04:52:54.61" personId="{E858530C-096F-4213-92BD-4CF83853EC03}" id="{873FE350-73B9-4548-824F-8745DAD81071}">
    <text>Input negative number.</text>
  </threadedComment>
  <threadedComment ref="Y5" dT="2024-08-29T14:11:35.48" personId="{E858530C-096F-4213-92BD-4CF83853EC03}" id="{299D024D-7893-4653-B25E-85C0984B3F82}">
    <text>Increase in revenue is driven by an AI productivity boost.</text>
  </threadedComment>
  <threadedComment ref="C6" dT="2024-08-02T23:09:15.86" personId="{E858530C-096F-4213-92BD-4CF83853EC03}" id="{87186F0A-EA22-4024-AFDF-890B0C488981}">
    <text>Opening debt at the start of 2024.</text>
  </threadedComment>
  <threadedComment ref="D6" dT="2024-08-05T04:52:54.61" personId="{E858530C-096F-4213-92BD-4CF83853EC03}" id="{F2A55541-2728-48B4-9805-F88DD7EFEDC9}">
    <text>Input negative number.</text>
  </threadedComment>
  <threadedComment ref="Y6" dT="2024-08-02T22:42:57.67" personId="{E858530C-096F-4213-92BD-4CF83853EC03}" id="{EE0EDE97-E9E9-4961-80D0-9C7DF9187C37}">
    <text>Excluding interest expense.</text>
  </threadedComment>
  <threadedComment ref="C7" dT="2024-08-05T05:52:13.92" personId="{E858530C-096F-4213-92BD-4CF83853EC03}" id="{1FE2F8F9-0B01-453D-AB35-7DE31D1E7A38}">
    <text>Blended cost of debt.</text>
  </threadedComment>
  <threadedComment ref="C10" dT="2024-08-05T05:54:52.71" personId="{E858530C-096F-4213-92BD-4CF83853EC03}" id="{B822EBB1-3BA1-42B5-9332-659A27BAC48A}">
    <text>Years starting 2025.</text>
  </threadedComment>
  <threadedComment ref="B29" dT="2024-08-02T22:59:05.58" personId="{E858530C-096F-4213-92BD-4CF83853EC03}" id="{D8E04E22-142D-47E6-A2AD-BBA83C479D06}">
    <text>Excluding interest expense.</text>
  </threadedComment>
  <threadedComment ref="D30" dT="2024-08-05T06:03:55.97" personId="{E858530C-096F-4213-92BD-4CF83853EC03}" id="{4026580F-680C-4FE1-872A-0DEF3CFF7DF4}">
    <text>Hardcoded value for 2024.</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s://x.com/_ChaitanyaJ" TargetMode="External"/><Relationship Id="rId7" Type="http://schemas.openxmlformats.org/officeDocument/2006/relationships/comments" Target="../comments1.xml"/><Relationship Id="rId2" Type="http://schemas.openxmlformats.org/officeDocument/2006/relationships/hyperlink" Target="https://x.com/shirishjajodia" TargetMode="External"/><Relationship Id="rId1" Type="http://schemas.openxmlformats.org/officeDocument/2006/relationships/hyperlink" Target="https://x.com/saylor"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microsoft.com/office/2017/10/relationships/threadedComment" Target="../threadedComments/threadedComment9.xml"/><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DDD88-992A-4F8B-A86E-EAC199EABC2B}">
  <sheetPr codeName="Sheet1">
    <tabColor theme="3"/>
    <pageSetUpPr fitToPage="1"/>
  </sheetPr>
  <dimension ref="A1:J26"/>
  <sheetViews>
    <sheetView showGridLines="0" tabSelected="1" showRuler="0" zoomScale="140" zoomScaleNormal="140" zoomScaleSheetLayoutView="140" workbookViewId="0">
      <selection activeCell="B1" sqref="B1"/>
    </sheetView>
  </sheetViews>
  <sheetFormatPr baseColWidth="10" defaultColWidth="8.83203125" defaultRowHeight="15" x14ac:dyDescent="0.2"/>
  <cols>
    <col min="1" max="5" width="19.5" customWidth="1"/>
    <col min="7" max="8" width="19.5" customWidth="1"/>
  </cols>
  <sheetData>
    <row r="1" spans="1:10" ht="63.75" customHeight="1" x14ac:dyDescent="0.75">
      <c r="A1" s="297" t="s">
        <v>0</v>
      </c>
      <c r="B1" s="102"/>
      <c r="C1" s="102"/>
      <c r="D1" s="102"/>
      <c r="E1" s="102"/>
      <c r="I1" s="261"/>
      <c r="J1" s="261"/>
    </row>
    <row r="2" spans="1:10" ht="18.75" customHeight="1" x14ac:dyDescent="0.25">
      <c r="A2" s="205" t="s">
        <v>1</v>
      </c>
      <c r="B2" s="199"/>
      <c r="C2" s="199"/>
      <c r="D2" s="199"/>
      <c r="E2" s="199"/>
      <c r="I2" s="261"/>
      <c r="J2" s="261"/>
    </row>
    <row r="3" spans="1:10" ht="18.75" customHeight="1" x14ac:dyDescent="0.25">
      <c r="A3" s="205"/>
      <c r="B3" s="199"/>
      <c r="C3" s="199"/>
      <c r="D3" s="199"/>
      <c r="E3" s="199"/>
      <c r="G3" s="261"/>
      <c r="H3" s="261"/>
      <c r="I3" s="261"/>
      <c r="J3" s="261"/>
    </row>
    <row r="4" spans="1:10" ht="18.75" customHeight="1" x14ac:dyDescent="0.25">
      <c r="A4" s="253" t="s">
        <v>2</v>
      </c>
      <c r="B4" s="254"/>
      <c r="C4" s="254"/>
      <c r="D4" s="254"/>
      <c r="E4" s="254"/>
    </row>
    <row r="5" spans="1:10" ht="18.75" customHeight="1" x14ac:dyDescent="0.25">
      <c r="A5" s="255" t="s">
        <v>3</v>
      </c>
      <c r="B5" s="256" t="s">
        <v>4</v>
      </c>
      <c r="C5" s="256" t="s">
        <v>5</v>
      </c>
      <c r="D5" s="256" t="s">
        <v>6</v>
      </c>
      <c r="E5" s="257" t="s">
        <v>7</v>
      </c>
      <c r="G5" s="262" t="s">
        <v>8</v>
      </c>
      <c r="H5" s="198"/>
    </row>
    <row r="6" spans="1:10" ht="18.75" customHeight="1" x14ac:dyDescent="0.2">
      <c r="G6" s="258" t="s">
        <v>9</v>
      </c>
      <c r="H6" s="259" t="s">
        <v>10</v>
      </c>
    </row>
    <row r="7" spans="1:10" ht="18.75" customHeight="1" x14ac:dyDescent="0.2">
      <c r="A7" s="299" t="s">
        <v>276</v>
      </c>
      <c r="B7" s="299"/>
      <c r="C7" s="299"/>
      <c r="D7" s="299"/>
      <c r="E7" s="300"/>
      <c r="G7" s="258" t="s">
        <v>11</v>
      </c>
      <c r="H7" s="260" t="s">
        <v>12</v>
      </c>
    </row>
    <row r="8" spans="1:10" ht="18.75" customHeight="1" x14ac:dyDescent="0.2">
      <c r="A8" s="301"/>
      <c r="B8" s="301"/>
      <c r="C8" s="301"/>
      <c r="D8" s="301"/>
      <c r="E8" s="302"/>
      <c r="H8" s="260" t="s">
        <v>13</v>
      </c>
    </row>
    <row r="9" spans="1:10" ht="18.75" customHeight="1" x14ac:dyDescent="0.2">
      <c r="A9" s="301"/>
      <c r="B9" s="301"/>
      <c r="C9" s="301"/>
      <c r="D9" s="301"/>
      <c r="E9" s="302"/>
      <c r="H9" s="260" t="s">
        <v>14</v>
      </c>
    </row>
    <row r="10" spans="1:10" ht="18.75" customHeight="1" x14ac:dyDescent="0.2">
      <c r="A10" s="303"/>
      <c r="B10" s="303"/>
      <c r="C10" s="303"/>
      <c r="D10" s="303"/>
      <c r="E10" s="304"/>
      <c r="H10" s="260" t="s">
        <v>15</v>
      </c>
    </row>
    <row r="11" spans="1:10" ht="18.75" customHeight="1" x14ac:dyDescent="0.2">
      <c r="H11" s="260" t="s">
        <v>16</v>
      </c>
    </row>
    <row r="12" spans="1:10" ht="18.75" customHeight="1" x14ac:dyDescent="0.2">
      <c r="A12" s="308" t="s">
        <v>277</v>
      </c>
      <c r="B12" s="309"/>
      <c r="C12" s="309"/>
      <c r="D12" s="309"/>
      <c r="E12" s="310"/>
      <c r="H12" s="260" t="s">
        <v>17</v>
      </c>
    </row>
    <row r="13" spans="1:10" ht="18.75" customHeight="1" x14ac:dyDescent="0.2">
      <c r="A13" s="311"/>
      <c r="B13" s="312"/>
      <c r="C13" s="312"/>
      <c r="D13" s="312"/>
      <c r="E13" s="313"/>
    </row>
    <row r="14" spans="1:10" ht="18.75" customHeight="1" x14ac:dyDescent="0.2"/>
    <row r="15" spans="1:10" ht="18.75" customHeight="1" x14ac:dyDescent="0.2">
      <c r="A15" s="306" t="s">
        <v>264</v>
      </c>
      <c r="B15" s="307"/>
      <c r="C15" s="295" t="s">
        <v>265</v>
      </c>
      <c r="D15" s="295" t="s">
        <v>267</v>
      </c>
      <c r="E15" s="295" t="s">
        <v>266</v>
      </c>
    </row>
    <row r="16" spans="1:10" ht="18.75" customHeight="1" x14ac:dyDescent="0.2"/>
    <row r="17" spans="1:5" ht="18.75" customHeight="1" x14ac:dyDescent="0.2">
      <c r="A17" s="305" t="s">
        <v>18</v>
      </c>
      <c r="B17" s="305"/>
      <c r="C17" s="305"/>
      <c r="D17" s="305"/>
      <c r="E17" s="305"/>
    </row>
    <row r="18" spans="1:5" ht="18.75" customHeight="1" x14ac:dyDescent="0.2">
      <c r="A18" s="305"/>
      <c r="B18" s="305"/>
      <c r="C18" s="305"/>
      <c r="D18" s="305"/>
      <c r="E18" s="305"/>
    </row>
    <row r="20" spans="1:5" x14ac:dyDescent="0.2">
      <c r="A20" s="298" t="s">
        <v>19</v>
      </c>
      <c r="B20" s="298"/>
      <c r="C20" s="298"/>
      <c r="D20" s="298"/>
      <c r="E20" s="298"/>
    </row>
    <row r="21" spans="1:5" x14ac:dyDescent="0.2">
      <c r="A21" s="298"/>
      <c r="B21" s="298"/>
      <c r="C21" s="298"/>
      <c r="D21" s="298"/>
      <c r="E21" s="298"/>
    </row>
    <row r="22" spans="1:5" x14ac:dyDescent="0.2">
      <c r="A22" s="298"/>
      <c r="B22" s="298"/>
      <c r="C22" s="298"/>
      <c r="D22" s="298"/>
      <c r="E22" s="298"/>
    </row>
    <row r="23" spans="1:5" x14ac:dyDescent="0.2">
      <c r="A23" s="298"/>
      <c r="B23" s="298"/>
      <c r="C23" s="298"/>
      <c r="D23" s="298"/>
      <c r="E23" s="298"/>
    </row>
    <row r="24" spans="1:5" ht="14.5" customHeight="1" x14ac:dyDescent="0.2">
      <c r="A24" s="298"/>
      <c r="B24" s="298"/>
      <c r="C24" s="298"/>
      <c r="D24" s="298"/>
      <c r="E24" s="298"/>
    </row>
    <row r="25" spans="1:5" x14ac:dyDescent="0.2">
      <c r="A25" s="298"/>
      <c r="B25" s="298"/>
      <c r="C25" s="298"/>
      <c r="D25" s="298"/>
      <c r="E25" s="298"/>
    </row>
    <row r="26" spans="1:5" x14ac:dyDescent="0.2">
      <c r="A26" s="298"/>
      <c r="B26" s="298"/>
      <c r="C26" s="298"/>
      <c r="D26" s="298"/>
      <c r="E26" s="298"/>
    </row>
  </sheetData>
  <mergeCells count="5">
    <mergeCell ref="A20:E26"/>
    <mergeCell ref="A7:E10"/>
    <mergeCell ref="A17:E18"/>
    <mergeCell ref="A15:B15"/>
    <mergeCell ref="A12:E13"/>
  </mergeCells>
  <hyperlinks>
    <hyperlink ref="G6" location="Individual!A1" display="Individual" xr:uid="{59DB27D3-4D89-4159-AA8F-467D09AE161E}"/>
    <hyperlink ref="G6" location="BTC!A1" display="BTC Model" xr:uid="{79984D87-210D-4A38-9FA9-A541A7456076}"/>
    <hyperlink ref="H11" location="'Wealthy Nation'!A1" display="Wealthy Nation" xr:uid="{3B62DDAF-7993-4334-A813-F0B983CCA711}"/>
    <hyperlink ref="H12" location="'United States'!A1" display="United States" xr:uid="{9672FBE3-F2BE-4E4D-AE00-EF6ECC071EC5}"/>
    <hyperlink ref="H10" location="'Indebted Nation'!A1" display="Nation" xr:uid="{FB642800-B0A1-4BE9-87EF-1E045924C5E3}"/>
    <hyperlink ref="H9" location="Institution!A1" display="Institution" xr:uid="{39E49ABE-DB2F-4DA0-9204-E8B51CB43FF9}"/>
    <hyperlink ref="H8" location="Corporate!A1" display="Corporate" xr:uid="{6315FEAC-FCC2-46D0-8B95-3EB3DA574B23}"/>
    <hyperlink ref="H7" location="Individual!A1" display="Individual" xr:uid="{1A00206F-C69F-43A9-A0D8-E080B258BDF0}"/>
    <hyperlink ref="G7" location="Macro!A1" display="Macro Model" xr:uid="{1CFB0513-A7B1-406C-A995-8FCEFAFDB56B}"/>
    <hyperlink ref="C15" r:id="rId1" xr:uid="{36AC592F-5C6C-4FCC-8D99-3B87C8CD056D}"/>
    <hyperlink ref="D15" r:id="rId2" xr:uid="{6AF43FA8-5EA2-45ED-BAE4-C3B394EA407B}"/>
    <hyperlink ref="E15" r:id="rId3" xr:uid="{1D39B2DD-6FE6-4C73-97D4-F7D1C35A452A}"/>
  </hyperlinks>
  <pageMargins left="0.7" right="0.7" top="0.75" bottom="0.75" header="0.3" footer="0.3"/>
  <pageSetup scale="62" orientation="portrait" r:id="rId4"/>
  <drawing r:id="rId5"/>
  <legacy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BB626-8614-4645-92A5-42CADB274EDA}">
  <sheetPr codeName="Sheet3">
    <tabColor rgb="FFFFC000"/>
    <pageSetUpPr fitToPage="1"/>
  </sheetPr>
  <dimension ref="B1:AE35"/>
  <sheetViews>
    <sheetView showGridLines="0" showRuler="0" showWhiteSpace="0" zoomScale="150" zoomScaleNormal="150" zoomScaleSheetLayoutView="140" zoomScalePageLayoutView="145" workbookViewId="0"/>
  </sheetViews>
  <sheetFormatPr baseColWidth="10" defaultColWidth="8.83203125" defaultRowHeight="15" outlineLevelCol="1" x14ac:dyDescent="0.2"/>
  <cols>
    <col min="1" max="1" width="0.83203125" customWidth="1"/>
    <col min="2" max="2" width="9.1640625" customWidth="1"/>
    <col min="3" max="3" width="13.6640625" customWidth="1"/>
    <col min="4" max="5" width="9.1640625" customWidth="1"/>
    <col min="8" max="8" width="0.83203125" customWidth="1"/>
    <col min="11" max="11" width="9.1640625" hidden="1" customWidth="1" outlineLevel="1"/>
    <col min="12" max="12" width="9.1640625" collapsed="1"/>
    <col min="14" max="14" width="9.33203125" bestFit="1" customWidth="1"/>
    <col min="15" max="15" width="0.83203125" customWidth="1"/>
  </cols>
  <sheetData>
    <row r="1" spans="2:31" ht="27" x14ac:dyDescent="0.35">
      <c r="B1" s="267" t="s">
        <v>20</v>
      </c>
      <c r="C1" s="147"/>
      <c r="D1" s="292" t="s">
        <v>9</v>
      </c>
      <c r="E1" s="147"/>
      <c r="F1" s="147"/>
      <c r="G1" s="147"/>
      <c r="H1" s="147"/>
      <c r="I1" s="147"/>
      <c r="J1" s="147"/>
      <c r="K1" s="147"/>
      <c r="L1" s="147"/>
      <c r="M1" s="147"/>
      <c r="N1" s="147"/>
      <c r="O1" s="147"/>
      <c r="P1" s="147"/>
      <c r="Q1" s="147"/>
      <c r="R1" s="147"/>
      <c r="S1" s="147"/>
      <c r="T1" s="147"/>
      <c r="U1" s="147"/>
      <c r="V1" s="147"/>
      <c r="W1" s="147"/>
    </row>
    <row r="2" spans="2:31" ht="4" customHeight="1" x14ac:dyDescent="0.2">
      <c r="C2" s="107"/>
      <c r="D2" s="103"/>
      <c r="E2" s="103"/>
      <c r="F2" s="103"/>
      <c r="G2" s="103"/>
    </row>
    <row r="3" spans="2:31" x14ac:dyDescent="0.2">
      <c r="B3" s="314" t="s">
        <v>21</v>
      </c>
      <c r="C3" s="314"/>
      <c r="D3" s="314"/>
      <c r="E3" s="314"/>
      <c r="F3" s="314"/>
      <c r="G3" s="314"/>
      <c r="I3" s="190" t="s">
        <v>22</v>
      </c>
      <c r="J3" s="190"/>
      <c r="K3" s="190"/>
      <c r="L3" s="190"/>
      <c r="M3" s="190"/>
      <c r="N3" s="190"/>
    </row>
    <row r="4" spans="2:31" x14ac:dyDescent="0.2">
      <c r="C4" s="107" t="s">
        <v>23</v>
      </c>
      <c r="D4" s="108">
        <v>65</v>
      </c>
      <c r="E4" s="106"/>
      <c r="F4" s="106"/>
      <c r="G4" s="106"/>
    </row>
    <row r="5" spans="2:31" x14ac:dyDescent="0.2">
      <c r="K5" s="114" t="str">
        <f>D6</f>
        <v>Base</v>
      </c>
      <c r="L5" s="139" t="s">
        <v>24</v>
      </c>
      <c r="M5" s="140" t="s">
        <v>25</v>
      </c>
      <c r="N5" s="141" t="s">
        <v>26</v>
      </c>
    </row>
    <row r="6" spans="2:31" x14ac:dyDescent="0.2">
      <c r="C6" s="28" t="s">
        <v>27</v>
      </c>
      <c r="D6" s="113" t="s">
        <v>25</v>
      </c>
      <c r="E6" s="196" t="s">
        <v>24</v>
      </c>
      <c r="F6" s="142" t="s">
        <v>25</v>
      </c>
      <c r="G6" s="143" t="s">
        <v>26</v>
      </c>
      <c r="J6" s="26" t="s">
        <v>28</v>
      </c>
      <c r="K6" s="109">
        <f>Macro!X20/10^3</f>
        <v>13.399566130733223</v>
      </c>
      <c r="L6" s="94">
        <f t="dataTable" ref="L6:N9" dt2D="0" dtr="1" r1="D6"/>
        <v>3.2495229161720021</v>
      </c>
      <c r="M6" s="92">
        <v>13.399566130733223</v>
      </c>
      <c r="N6" s="93">
        <v>49.227809646836207</v>
      </c>
    </row>
    <row r="7" spans="2:31" x14ac:dyDescent="0.2">
      <c r="C7" s="26" t="s">
        <v>29</v>
      </c>
      <c r="D7" s="30">
        <f>INDEX($E$6:$G$9,MATCH(C7,$C$6:$C$9,0),MATCH($D$6,$E$6:$G$6,0))</f>
        <v>0.5</v>
      </c>
      <c r="E7" s="115">
        <v>0.25</v>
      </c>
      <c r="F7" s="116">
        <v>0.5</v>
      </c>
      <c r="G7" s="117">
        <v>0.75</v>
      </c>
      <c r="J7" s="26" t="s">
        <v>30</v>
      </c>
      <c r="K7" s="110">
        <f>Macro!X22</f>
        <v>280.96210262921426</v>
      </c>
      <c r="L7" s="96">
        <v>68.135996506294546</v>
      </c>
      <c r="M7" s="95">
        <v>280.96210262921426</v>
      </c>
      <c r="N7" s="97">
        <v>1032.2087126748615</v>
      </c>
    </row>
    <row r="8" spans="2:31" x14ac:dyDescent="0.2">
      <c r="C8" s="27" t="s">
        <v>31</v>
      </c>
      <c r="D8" s="31">
        <f>INDEX($E$6:$G$9,MATCH(C8,$C$6:$C$9,0),MATCH($D$6,$E$6:$G$6,0))</f>
        <v>2.5000000000000001E-2</v>
      </c>
      <c r="E8" s="118">
        <v>5.0000000000000001E-3</v>
      </c>
      <c r="F8" s="104">
        <v>2.5000000000000001E-2</v>
      </c>
      <c r="G8" s="119">
        <v>0.05</v>
      </c>
      <c r="J8" s="26" t="s">
        <v>32</v>
      </c>
      <c r="K8" s="111">
        <f>Macro!AD20</f>
        <v>0.28883975252734717</v>
      </c>
      <c r="L8" s="87">
        <v>0.20475932780290518</v>
      </c>
      <c r="M8" s="29">
        <v>0.28883975252734717</v>
      </c>
      <c r="N8" s="88">
        <v>0.37122710194011188</v>
      </c>
    </row>
    <row r="9" spans="2:31" x14ac:dyDescent="0.2">
      <c r="B9" s="26"/>
      <c r="C9" s="26" t="s">
        <v>273</v>
      </c>
      <c r="D9" s="32">
        <f>INDEX($E$6:$G$9,MATCH(C9,$C$6:$C$9,0),MATCH($D$6,$E$6:$G$6,0))</f>
        <v>0.2</v>
      </c>
      <c r="E9" s="120">
        <v>0.18</v>
      </c>
      <c r="F9" s="105">
        <v>0.2</v>
      </c>
      <c r="G9" s="121">
        <v>0.25</v>
      </c>
      <c r="J9" s="26" t="s">
        <v>33</v>
      </c>
      <c r="K9" s="112">
        <f>Macro!AG22</f>
        <v>7.0494895335945912E-2</v>
      </c>
      <c r="L9" s="89">
        <v>1.8060080205793895E-2</v>
      </c>
      <c r="M9" s="90">
        <v>7.0494895335945912E-2</v>
      </c>
      <c r="N9" s="91">
        <v>0.2179120560110045</v>
      </c>
    </row>
    <row r="11" spans="2:31" x14ac:dyDescent="0.2">
      <c r="B11" s="190" t="s">
        <v>34</v>
      </c>
      <c r="C11" s="190"/>
      <c r="D11" s="190"/>
    </row>
    <row r="12" spans="2:31" ht="4" customHeight="1" x14ac:dyDescent="0.2">
      <c r="J12" s="39"/>
      <c r="K12" s="39"/>
      <c r="L12" s="39"/>
      <c r="M12" s="39"/>
      <c r="N12" s="39"/>
      <c r="O12" s="39"/>
      <c r="P12" s="39"/>
      <c r="Q12" s="39"/>
      <c r="R12" s="39"/>
      <c r="S12" s="39"/>
      <c r="T12" s="39"/>
      <c r="U12" s="39"/>
      <c r="V12" s="39"/>
      <c r="W12" s="39"/>
      <c r="X12" s="39"/>
      <c r="Y12" s="39"/>
      <c r="Z12" s="39"/>
      <c r="AA12" s="39"/>
      <c r="AB12" s="39"/>
      <c r="AC12" s="39"/>
      <c r="AD12" s="39"/>
      <c r="AE12" s="39"/>
    </row>
    <row r="13" spans="2:31" x14ac:dyDescent="0.2">
      <c r="B13" s="185" t="s">
        <v>35</v>
      </c>
      <c r="C13" s="186" t="s">
        <v>28</v>
      </c>
      <c r="D13" s="185" t="s">
        <v>36</v>
      </c>
    </row>
    <row r="14" spans="2:31" x14ac:dyDescent="0.2">
      <c r="B14" s="11">
        <v>2024</v>
      </c>
      <c r="C14" s="207">
        <f>HLOOKUP(B14,Macro!$C$17:$X$20,4)/10^3</f>
        <v>6.5000000000000002E-2</v>
      </c>
      <c r="D14" s="11"/>
    </row>
    <row r="15" spans="2:31" x14ac:dyDescent="0.2">
      <c r="B15" s="188">
        <f t="shared" ref="B15:B35" si="0">B14+1</f>
        <v>2025</v>
      </c>
      <c r="C15" s="208">
        <f>HLOOKUP(B15,Macro!$C$17:$X$20,4)/10^3</f>
        <v>9.7500000000000003E-2</v>
      </c>
      <c r="D15" s="189">
        <f t="shared" ref="D15:D34" si="1">C15/C14-1</f>
        <v>0.5</v>
      </c>
    </row>
    <row r="16" spans="2:31" x14ac:dyDescent="0.2">
      <c r="B16" s="11">
        <f t="shared" si="0"/>
        <v>2026</v>
      </c>
      <c r="C16" s="207">
        <f>HLOOKUP(B16,Macro!$C$17:$X$20,4)/10^3</f>
        <v>0.14381250000000001</v>
      </c>
      <c r="D16" s="12">
        <f t="shared" si="1"/>
        <v>0.47500000000000009</v>
      </c>
    </row>
    <row r="17" spans="2:4" x14ac:dyDescent="0.2">
      <c r="B17" s="11">
        <f t="shared" si="0"/>
        <v>2027</v>
      </c>
      <c r="C17" s="207">
        <f>HLOOKUP(B17,Macro!$C$17:$X$20,4)/10^3</f>
        <v>0.20852812499999998</v>
      </c>
      <c r="D17" s="12">
        <f t="shared" si="1"/>
        <v>0.44999999999999973</v>
      </c>
    </row>
    <row r="18" spans="2:4" x14ac:dyDescent="0.2">
      <c r="B18" s="11">
        <f t="shared" si="0"/>
        <v>2028</v>
      </c>
      <c r="C18" s="207">
        <f>HLOOKUP(B18,Macro!$C$17:$X$20,4)/10^3</f>
        <v>0.29715257812499996</v>
      </c>
      <c r="D18" s="12">
        <f t="shared" si="1"/>
        <v>0.42499999999999982</v>
      </c>
    </row>
    <row r="19" spans="2:4" x14ac:dyDescent="0.2">
      <c r="B19" s="11">
        <f t="shared" si="0"/>
        <v>2029</v>
      </c>
      <c r="C19" s="207">
        <f>HLOOKUP(B19,Macro!$C$17:$X$20,4)/10^3</f>
        <v>0.41601360937499987</v>
      </c>
      <c r="D19" s="12">
        <f t="shared" si="1"/>
        <v>0.39999999999999969</v>
      </c>
    </row>
    <row r="20" spans="2:4" x14ac:dyDescent="0.2">
      <c r="B20" s="188">
        <f t="shared" si="0"/>
        <v>2030</v>
      </c>
      <c r="C20" s="206">
        <f>HLOOKUP(B20,Macro!$C$17:$X$20,4)/10^3</f>
        <v>0.57201871289062478</v>
      </c>
      <c r="D20" s="189">
        <f t="shared" si="1"/>
        <v>0.375</v>
      </c>
    </row>
    <row r="21" spans="2:4" x14ac:dyDescent="0.2">
      <c r="B21" s="11">
        <f t="shared" si="0"/>
        <v>2031</v>
      </c>
      <c r="C21" s="187">
        <f>HLOOKUP(B21,Macro!$C$17:$X$20,4)/10^3</f>
        <v>0.77222526240234335</v>
      </c>
      <c r="D21" s="12">
        <f t="shared" si="1"/>
        <v>0.34999999999999987</v>
      </c>
    </row>
    <row r="22" spans="2:4" x14ac:dyDescent="0.2">
      <c r="B22" s="11">
        <f t="shared" si="0"/>
        <v>2032</v>
      </c>
      <c r="C22" s="187">
        <f>HLOOKUP(B22,Macro!$C$17:$X$20,4)/10^3</f>
        <v>1.0231984726831047</v>
      </c>
      <c r="D22" s="12">
        <f t="shared" si="1"/>
        <v>0.32499999999999973</v>
      </c>
    </row>
    <row r="23" spans="2:4" x14ac:dyDescent="0.2">
      <c r="B23" s="11">
        <f t="shared" si="0"/>
        <v>2033</v>
      </c>
      <c r="C23" s="187">
        <f>HLOOKUP(B23,Macro!$C$17:$X$20,4)/10^3</f>
        <v>1.3301580144880358</v>
      </c>
      <c r="D23" s="12">
        <f t="shared" si="1"/>
        <v>0.29999999999999982</v>
      </c>
    </row>
    <row r="24" spans="2:4" x14ac:dyDescent="0.2">
      <c r="B24" s="11">
        <f t="shared" si="0"/>
        <v>2034</v>
      </c>
      <c r="C24" s="187">
        <f>HLOOKUP(B24,Macro!$C$17:$X$20,4)/10^3</f>
        <v>1.6959514684722456</v>
      </c>
      <c r="D24" s="12">
        <f t="shared" si="1"/>
        <v>0.27499999999999991</v>
      </c>
    </row>
    <row r="25" spans="2:4" x14ac:dyDescent="0.2">
      <c r="B25" s="188">
        <f t="shared" si="0"/>
        <v>2035</v>
      </c>
      <c r="C25" s="206">
        <f>HLOOKUP(B25,Macro!$C$17:$X$20,4)/10^3</f>
        <v>2.1199393355903067</v>
      </c>
      <c r="D25" s="189">
        <f t="shared" si="1"/>
        <v>0.24999999999999978</v>
      </c>
    </row>
    <row r="26" spans="2:4" x14ac:dyDescent="0.2">
      <c r="B26" s="11">
        <f t="shared" si="0"/>
        <v>2036</v>
      </c>
      <c r="C26" s="187">
        <f>HLOOKUP(B26,Macro!$C$17:$X$20,4)/10^3</f>
        <v>2.5969256860981256</v>
      </c>
      <c r="D26" s="12">
        <f t="shared" si="1"/>
        <v>0.22499999999999987</v>
      </c>
    </row>
    <row r="27" spans="2:4" x14ac:dyDescent="0.2">
      <c r="B27" s="11">
        <f t="shared" si="0"/>
        <v>2037</v>
      </c>
      <c r="C27" s="187">
        <f>HLOOKUP(B27,Macro!$C$17:$X$20,4)/10^3</f>
        <v>3.1163108233177503</v>
      </c>
      <c r="D27" s="12">
        <f t="shared" si="1"/>
        <v>0.19999999999999996</v>
      </c>
    </row>
    <row r="28" spans="2:4" x14ac:dyDescent="0.2">
      <c r="B28" s="11">
        <f t="shared" si="0"/>
        <v>2038</v>
      </c>
      <c r="C28" s="187">
        <f>HLOOKUP(B28,Macro!$C$17:$X$20,4)/10^3</f>
        <v>3.7395729879813002</v>
      </c>
      <c r="D28" s="12">
        <f t="shared" si="1"/>
        <v>0.19999999999999996</v>
      </c>
    </row>
    <row r="29" spans="2:4" x14ac:dyDescent="0.2">
      <c r="B29" s="11">
        <f t="shared" si="0"/>
        <v>2039</v>
      </c>
      <c r="C29" s="187">
        <f>HLOOKUP(B29,Macro!$C$17:$X$20,4)/10^3</f>
        <v>4.4874875855775596</v>
      </c>
      <c r="D29" s="12">
        <f t="shared" si="1"/>
        <v>0.19999999999999973</v>
      </c>
    </row>
    <row r="30" spans="2:4" x14ac:dyDescent="0.2">
      <c r="B30" s="188">
        <f t="shared" si="0"/>
        <v>2040</v>
      </c>
      <c r="C30" s="206">
        <f>HLOOKUP(B30,Macro!$C$17:$X$20,4)/10^3</f>
        <v>5.3849851026930722</v>
      </c>
      <c r="D30" s="189">
        <f t="shared" si="1"/>
        <v>0.20000000000000018</v>
      </c>
    </row>
    <row r="31" spans="2:4" x14ac:dyDescent="0.2">
      <c r="B31" s="11">
        <f t="shared" si="0"/>
        <v>2041</v>
      </c>
      <c r="C31" s="187">
        <f>HLOOKUP(B31,Macro!$C$17:$X$20,4)/10^3</f>
        <v>6.4619821232316861</v>
      </c>
      <c r="D31" s="12">
        <f t="shared" si="1"/>
        <v>0.19999999999999996</v>
      </c>
    </row>
    <row r="32" spans="2:4" x14ac:dyDescent="0.2">
      <c r="B32" s="11">
        <f t="shared" si="0"/>
        <v>2042</v>
      </c>
      <c r="C32" s="187">
        <f>HLOOKUP(B32,Macro!$C$17:$X$20,4)/10^3</f>
        <v>7.7543785478780229</v>
      </c>
      <c r="D32" s="12">
        <f t="shared" si="1"/>
        <v>0.19999999999999996</v>
      </c>
    </row>
    <row r="33" spans="2:4" x14ac:dyDescent="0.2">
      <c r="B33" s="11">
        <f t="shared" si="0"/>
        <v>2043</v>
      </c>
      <c r="C33" s="187">
        <f>HLOOKUP(B33,Macro!$C$17:$X$20,4)/10^3</f>
        <v>9.3052542574536279</v>
      </c>
      <c r="D33" s="12">
        <f t="shared" si="1"/>
        <v>0.19999999999999996</v>
      </c>
    </row>
    <row r="34" spans="2:4" x14ac:dyDescent="0.2">
      <c r="B34" s="11">
        <f t="shared" si="0"/>
        <v>2044</v>
      </c>
      <c r="C34" s="187">
        <f>HLOOKUP(B34,Macro!$C$17:$X$20,4)/10^3</f>
        <v>11.166305108944352</v>
      </c>
      <c r="D34" s="12">
        <f t="shared" si="1"/>
        <v>0.19999999999999973</v>
      </c>
    </row>
    <row r="35" spans="2:4" x14ac:dyDescent="0.2">
      <c r="B35" s="188">
        <f t="shared" si="0"/>
        <v>2045</v>
      </c>
      <c r="C35" s="206">
        <f>HLOOKUP(B35,Macro!$C$17:$X$20,4)/10^3</f>
        <v>13.399566130733223</v>
      </c>
      <c r="D35" s="189">
        <f>C35/C34-1</f>
        <v>0.20000000000000018</v>
      </c>
    </row>
  </sheetData>
  <mergeCells count="1">
    <mergeCell ref="B3:G3"/>
  </mergeCells>
  <dataValidations disablePrompts="1" count="1">
    <dataValidation type="list" allowBlank="1" showInputMessage="1" showErrorMessage="1" sqref="D6" xr:uid="{52A50DCE-7DF1-43D8-AB68-79E7AA41E679}">
      <formula1>$E$6:$G$6</formula1>
    </dataValidation>
  </dataValidations>
  <pageMargins left="0.7" right="0.7" top="0.75" bottom="0.75" header="0.3" footer="0.3"/>
  <pageSetup scale="69" orientation="landscape"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018C-BA45-4847-9E06-2D59368E3A7F}">
  <sheetPr codeName="Sheet4">
    <tabColor theme="9" tint="0.79998168889431442"/>
    <pageSetUpPr fitToPage="1"/>
  </sheetPr>
  <dimension ref="B1:AR91"/>
  <sheetViews>
    <sheetView showGridLines="0" showWhiteSpace="0" zoomScale="130" zoomScaleNormal="130" zoomScaleSheetLayoutView="140" zoomScalePageLayoutView="115" workbookViewId="0"/>
  </sheetViews>
  <sheetFormatPr baseColWidth="10" defaultColWidth="8.83203125" defaultRowHeight="15" outlineLevelRow="1" outlineLevelCol="1" x14ac:dyDescent="0.2"/>
  <cols>
    <col min="1" max="1" width="0.83203125" customWidth="1"/>
    <col min="2" max="2" width="21.6640625" customWidth="1"/>
    <col min="3" max="4" width="10.33203125" customWidth="1"/>
    <col min="5" max="8" width="10.33203125" hidden="1" customWidth="1" outlineLevel="1"/>
    <col min="9" max="9" width="10.33203125" customWidth="1" collapsed="1"/>
    <col min="10" max="13" width="10.33203125" hidden="1" customWidth="1" outlineLevel="1"/>
    <col min="14" max="14" width="10.33203125" customWidth="1" collapsed="1"/>
    <col min="15" max="18" width="10.33203125" hidden="1" customWidth="1" outlineLevel="1"/>
    <col min="19" max="19" width="10.33203125" customWidth="1" collapsed="1"/>
    <col min="20" max="23" width="10.33203125" hidden="1" customWidth="1" outlineLevel="1"/>
    <col min="24" max="24" width="10.33203125" customWidth="1" collapsed="1"/>
    <col min="25" max="25" width="0.83203125" customWidth="1"/>
    <col min="26" max="27" width="8.83203125" hidden="1" customWidth="1" outlineLevel="1"/>
    <col min="28" max="28" width="9.33203125" hidden="1" customWidth="1" outlineLevel="1"/>
    <col min="29" max="29" width="8.83203125" hidden="1" customWidth="1" outlineLevel="1"/>
    <col min="30" max="30" width="8.83203125" collapsed="1"/>
    <col min="31" max="31" width="0.83203125" customWidth="1"/>
    <col min="32" max="33" width="8.83203125" customWidth="1"/>
    <col min="34" max="34" width="0.83203125" customWidth="1"/>
    <col min="35" max="35" width="2.6640625" customWidth="1"/>
  </cols>
  <sheetData>
    <row r="1" spans="2:44" ht="26.25" customHeight="1" x14ac:dyDescent="0.35">
      <c r="B1" s="266" t="s">
        <v>20</v>
      </c>
      <c r="C1" s="293" t="s">
        <v>11</v>
      </c>
      <c r="D1" s="264"/>
      <c r="E1" s="264"/>
      <c r="F1" s="264"/>
      <c r="G1" s="264"/>
      <c r="H1" s="264"/>
      <c r="I1" s="147"/>
      <c r="J1" s="264"/>
      <c r="K1" s="264"/>
      <c r="L1" s="264"/>
      <c r="M1" s="264"/>
      <c r="N1" s="264"/>
      <c r="O1" s="264"/>
      <c r="P1" s="264"/>
      <c r="Q1" s="264"/>
      <c r="R1" s="264"/>
      <c r="S1" s="264"/>
      <c r="T1" s="264"/>
      <c r="U1" s="264"/>
      <c r="V1" s="264"/>
      <c r="W1" s="264"/>
      <c r="X1" s="264"/>
      <c r="Y1" s="264"/>
      <c r="Z1" s="264"/>
      <c r="AA1" s="264"/>
      <c r="AB1" s="264"/>
      <c r="AC1" s="264"/>
      <c r="AD1" s="264"/>
      <c r="AE1" s="264"/>
      <c r="AF1" s="264"/>
      <c r="AG1" s="264"/>
      <c r="AH1" s="264"/>
      <c r="AI1" s="264"/>
      <c r="AJ1" s="264"/>
      <c r="AK1" s="264"/>
      <c r="AL1" s="264"/>
      <c r="AM1" s="264"/>
      <c r="AN1" s="264"/>
      <c r="AO1" s="264"/>
      <c r="AP1" s="264"/>
      <c r="AQ1" s="264"/>
      <c r="AR1" s="264"/>
    </row>
    <row r="2" spans="2:44" ht="4" customHeight="1" x14ac:dyDescent="0.2">
      <c r="B2" s="263"/>
      <c r="C2" s="263"/>
      <c r="D2" s="263"/>
      <c r="E2" s="263"/>
      <c r="F2" s="263"/>
      <c r="G2" s="263"/>
      <c r="H2" s="263"/>
      <c r="I2" s="263"/>
      <c r="J2" s="263"/>
      <c r="K2" s="263"/>
      <c r="L2" s="263"/>
      <c r="M2" s="263"/>
      <c r="N2" s="263"/>
      <c r="O2" s="263"/>
      <c r="P2" s="263"/>
      <c r="Q2" s="263"/>
      <c r="R2" s="263"/>
      <c r="S2" s="263"/>
      <c r="T2" s="263"/>
      <c r="U2" s="263"/>
      <c r="V2" s="263"/>
      <c r="W2" s="263"/>
      <c r="X2" s="263"/>
      <c r="Y2" s="263"/>
      <c r="Z2" s="263"/>
      <c r="AA2" s="263"/>
      <c r="AB2" s="263"/>
      <c r="AC2" s="263"/>
      <c r="AD2" s="263"/>
      <c r="AE2" s="263"/>
      <c r="AF2" s="263"/>
      <c r="AG2" s="263"/>
      <c r="AH2" s="263"/>
      <c r="AI2" s="263"/>
      <c r="AJ2" s="263"/>
      <c r="AK2" s="263"/>
      <c r="AL2" s="263"/>
      <c r="AM2" s="263"/>
      <c r="AN2" s="263"/>
      <c r="AO2" s="263"/>
      <c r="AP2" s="263"/>
      <c r="AQ2" s="263"/>
      <c r="AR2" s="263"/>
    </row>
    <row r="3" spans="2:44" ht="16" x14ac:dyDescent="0.2">
      <c r="B3" s="315" t="s">
        <v>21</v>
      </c>
      <c r="C3" s="315"/>
      <c r="D3" s="315"/>
      <c r="E3" s="315"/>
      <c r="F3" s="315"/>
      <c r="G3" s="315"/>
      <c r="H3" s="315"/>
      <c r="I3" s="315"/>
      <c r="J3" s="315"/>
      <c r="K3" s="315"/>
      <c r="L3" s="315"/>
      <c r="M3" s="315"/>
      <c r="N3" s="315"/>
      <c r="O3" s="315"/>
      <c r="P3" s="315"/>
      <c r="Q3" s="315"/>
      <c r="R3" s="315"/>
      <c r="S3" s="315"/>
      <c r="T3" s="315"/>
      <c r="U3" s="315"/>
      <c r="V3" s="315"/>
      <c r="W3" s="315"/>
      <c r="X3" s="315"/>
      <c r="Y3" s="315"/>
      <c r="Z3" s="315"/>
      <c r="AA3" s="315"/>
      <c r="AB3" s="315"/>
      <c r="AC3" s="315"/>
      <c r="AD3" s="315"/>
      <c r="AE3" s="315"/>
      <c r="AF3" s="315"/>
      <c r="AG3" s="315"/>
      <c r="AJ3" s="315" t="s">
        <v>37</v>
      </c>
      <c r="AK3" s="315"/>
      <c r="AL3" s="315"/>
      <c r="AM3" s="315"/>
      <c r="AN3" s="315"/>
      <c r="AO3" s="315"/>
      <c r="AP3" s="315"/>
      <c r="AQ3" s="315"/>
      <c r="AR3" s="315"/>
    </row>
    <row r="4" spans="2:44" x14ac:dyDescent="0.2">
      <c r="B4" s="265" t="s">
        <v>38</v>
      </c>
      <c r="C4" s="202" t="str">
        <f>SelectedCase</f>
        <v>Base</v>
      </c>
      <c r="D4" s="8"/>
      <c r="E4" s="8"/>
      <c r="F4" s="8"/>
      <c r="G4" s="8"/>
      <c r="H4" s="8"/>
      <c r="I4" s="4" t="s">
        <v>39</v>
      </c>
      <c r="L4" s="8"/>
      <c r="M4" s="8"/>
      <c r="N4" s="4"/>
      <c r="O4" s="8"/>
      <c r="P4" s="8"/>
      <c r="Q4" s="8"/>
      <c r="R4" s="8"/>
      <c r="S4" s="8"/>
      <c r="T4" s="8"/>
      <c r="U4" s="8"/>
      <c r="V4" s="8"/>
      <c r="W4" s="8"/>
      <c r="X4" s="4" t="s">
        <v>40</v>
      </c>
      <c r="AD4" s="4"/>
      <c r="AJ4" s="3" t="s">
        <v>41</v>
      </c>
      <c r="AL4" s="33">
        <v>2045</v>
      </c>
    </row>
    <row r="5" spans="2:44" x14ac:dyDescent="0.2">
      <c r="D5" s="8"/>
      <c r="E5" s="8"/>
      <c r="F5" s="8"/>
      <c r="G5" s="8"/>
      <c r="H5" s="8"/>
      <c r="I5" t="s">
        <v>42</v>
      </c>
      <c r="L5" s="8"/>
      <c r="M5" s="8"/>
      <c r="N5" s="125">
        <v>-0.04</v>
      </c>
      <c r="O5" s="8"/>
      <c r="P5" s="8"/>
      <c r="Q5" s="8"/>
      <c r="R5" s="8"/>
      <c r="S5" s="8"/>
      <c r="T5" s="8"/>
      <c r="U5" s="8"/>
      <c r="V5" s="8"/>
      <c r="W5" s="8"/>
      <c r="X5" t="s">
        <v>42</v>
      </c>
      <c r="AD5" s="126">
        <v>1.7500000000000002E-2</v>
      </c>
    </row>
    <row r="6" spans="2:44" x14ac:dyDescent="0.2">
      <c r="B6" s="4" t="s">
        <v>43</v>
      </c>
      <c r="D6" s="8"/>
      <c r="E6" s="8"/>
      <c r="F6" s="8"/>
      <c r="G6" s="8"/>
      <c r="H6" s="8"/>
      <c r="I6" t="s">
        <v>44</v>
      </c>
      <c r="L6" s="8"/>
      <c r="M6" s="8"/>
      <c r="N6" s="125">
        <v>0</v>
      </c>
      <c r="O6" s="8"/>
      <c r="P6" s="8"/>
      <c r="Q6" s="8"/>
      <c r="R6" s="8"/>
      <c r="S6" s="8"/>
      <c r="T6" s="8"/>
      <c r="U6" s="8"/>
      <c r="V6" s="8"/>
      <c r="W6" s="8"/>
      <c r="X6" t="s">
        <v>44</v>
      </c>
      <c r="AD6" s="126">
        <v>1.2500000000000001E-2</v>
      </c>
    </row>
    <row r="7" spans="2:44" x14ac:dyDescent="0.2">
      <c r="B7" t="s">
        <v>45</v>
      </c>
      <c r="C7" s="125">
        <v>0.06</v>
      </c>
      <c r="D7" s="8"/>
      <c r="E7" s="8"/>
      <c r="F7" s="8"/>
      <c r="G7" s="8"/>
      <c r="H7" s="8"/>
      <c r="I7" t="s">
        <v>46</v>
      </c>
      <c r="L7" s="8"/>
      <c r="M7" s="8"/>
      <c r="N7" s="125">
        <v>0.01</v>
      </c>
      <c r="O7" s="8"/>
      <c r="P7" s="8"/>
      <c r="Q7" s="8"/>
      <c r="R7" s="8"/>
      <c r="S7" s="8"/>
      <c r="T7" s="8"/>
      <c r="U7" s="8"/>
      <c r="V7" s="8"/>
      <c r="W7" s="8"/>
      <c r="X7" t="s">
        <v>46</v>
      </c>
      <c r="AD7" s="125">
        <v>0.01</v>
      </c>
      <c r="AK7" s="160" t="s">
        <v>47</v>
      </c>
      <c r="AL7" s="149"/>
      <c r="AM7" s="149"/>
    </row>
    <row r="8" spans="2:44" x14ac:dyDescent="0.2">
      <c r="B8" t="s">
        <v>48</v>
      </c>
      <c r="C8" s="125">
        <v>0.03</v>
      </c>
      <c r="E8" s="8"/>
      <c r="F8" s="8"/>
      <c r="G8" s="8"/>
      <c r="H8" s="8"/>
      <c r="I8" t="s">
        <v>49</v>
      </c>
      <c r="L8" s="8"/>
      <c r="M8" s="8"/>
      <c r="N8" s="125">
        <v>-0.02</v>
      </c>
      <c r="O8" s="8"/>
      <c r="P8" s="8"/>
      <c r="Q8" s="8"/>
      <c r="R8" s="8"/>
      <c r="S8" s="8"/>
      <c r="T8" s="8"/>
      <c r="U8" s="8"/>
      <c r="V8" s="8"/>
      <c r="W8" s="8"/>
      <c r="X8" t="s">
        <v>49</v>
      </c>
      <c r="AD8" s="125">
        <v>0.02</v>
      </c>
      <c r="AK8" s="149" t="s">
        <v>50</v>
      </c>
      <c r="AL8" s="169">
        <f t="shared" ref="AL8:AL13" si="0">MROUND(INDEX($B$22:$X$28,MATCH(AK8,$B$22:$B$28,0),MATCH($AL$4,$B$17:$X$17,0)),5)</f>
        <v>280</v>
      </c>
      <c r="AM8" s="167">
        <f t="shared" ref="AM8:AM13" si="1">AL8/AL$16</f>
        <v>7.0351758793969849E-2</v>
      </c>
    </row>
    <row r="9" spans="2:44" x14ac:dyDescent="0.2">
      <c r="E9" s="8"/>
      <c r="F9" s="8"/>
      <c r="G9" s="8"/>
      <c r="H9" s="8"/>
      <c r="I9" t="s">
        <v>51</v>
      </c>
      <c r="L9" s="8"/>
      <c r="M9" s="8"/>
      <c r="N9" s="125">
        <v>-0.04</v>
      </c>
      <c r="O9" s="8"/>
      <c r="P9" s="8"/>
      <c r="Q9" s="8"/>
      <c r="R9" s="8"/>
      <c r="S9" s="8"/>
      <c r="T9" s="8"/>
      <c r="U9" s="8"/>
      <c r="V9" s="8"/>
      <c r="W9" s="8"/>
      <c r="AK9" s="149" t="s">
        <v>42</v>
      </c>
      <c r="AL9" s="169">
        <f t="shared" si="0"/>
        <v>45</v>
      </c>
      <c r="AM9" s="167">
        <f t="shared" si="1"/>
        <v>1.1306532663316583E-2</v>
      </c>
    </row>
    <row r="10" spans="2:44" x14ac:dyDescent="0.2">
      <c r="B10" s="4" t="s">
        <v>52</v>
      </c>
      <c r="E10" s="8"/>
      <c r="F10" s="8"/>
      <c r="G10" s="8"/>
      <c r="H10" s="8"/>
      <c r="I10" t="s">
        <v>53</v>
      </c>
      <c r="L10" s="8"/>
      <c r="M10" s="8"/>
      <c r="N10" s="125">
        <v>-0.02</v>
      </c>
      <c r="O10" s="8"/>
      <c r="P10" s="8"/>
      <c r="Q10" s="8"/>
      <c r="R10" s="8"/>
      <c r="S10" s="8"/>
      <c r="T10" s="8"/>
      <c r="U10" s="8"/>
      <c r="V10" s="8"/>
      <c r="W10" s="8"/>
      <c r="X10" s="4" t="s">
        <v>54</v>
      </c>
      <c r="AD10" s="12"/>
      <c r="AF10" s="4"/>
      <c r="AK10" s="149" t="s">
        <v>44</v>
      </c>
      <c r="AL10" s="169">
        <f t="shared" si="0"/>
        <v>110</v>
      </c>
      <c r="AM10" s="167">
        <f t="shared" si="1"/>
        <v>2.7638190954773871E-2</v>
      </c>
    </row>
    <row r="11" spans="2:44" x14ac:dyDescent="0.2">
      <c r="B11" t="s">
        <v>274</v>
      </c>
      <c r="D11" s="125">
        <v>0.03</v>
      </c>
      <c r="F11" s="8"/>
      <c r="G11" s="8"/>
      <c r="H11" s="8"/>
      <c r="I11" s="8"/>
      <c r="J11" s="8"/>
      <c r="K11" s="8"/>
      <c r="L11" s="8"/>
      <c r="M11" s="8"/>
      <c r="N11" s="8"/>
      <c r="O11" s="8"/>
      <c r="P11" s="8"/>
      <c r="Q11" s="8"/>
      <c r="R11" s="8"/>
      <c r="S11" s="8"/>
      <c r="T11" s="8"/>
      <c r="U11" s="8"/>
      <c r="V11" s="8"/>
      <c r="W11" s="8"/>
      <c r="X11" t="s">
        <v>51</v>
      </c>
      <c r="AD11" s="125">
        <v>7.0000000000000007E-2</v>
      </c>
      <c r="AK11" s="149" t="s">
        <v>46</v>
      </c>
      <c r="AL11" s="169">
        <f t="shared" si="0"/>
        <v>850</v>
      </c>
      <c r="AM11" s="167">
        <f t="shared" si="1"/>
        <v>0.21356783919597991</v>
      </c>
    </row>
    <row r="12" spans="2:44" x14ac:dyDescent="0.2">
      <c r="B12" t="s">
        <v>270</v>
      </c>
      <c r="D12" s="125">
        <v>0.03</v>
      </c>
      <c r="F12" s="8"/>
      <c r="G12" s="8"/>
      <c r="H12" s="8"/>
      <c r="I12" s="8"/>
      <c r="J12" s="8"/>
      <c r="K12" s="8"/>
      <c r="L12" s="8"/>
      <c r="M12" s="8"/>
      <c r="N12" s="8"/>
      <c r="O12" s="8"/>
      <c r="P12" s="8"/>
      <c r="Q12" s="8"/>
      <c r="R12" s="8"/>
      <c r="S12" s="8"/>
      <c r="T12" s="8"/>
      <c r="U12" s="8"/>
      <c r="V12" s="8"/>
      <c r="W12" s="8"/>
      <c r="X12" t="s">
        <v>53</v>
      </c>
      <c r="AD12" s="125">
        <v>0.02</v>
      </c>
      <c r="AK12" s="149" t="s">
        <v>49</v>
      </c>
      <c r="AL12" s="169">
        <f t="shared" si="0"/>
        <v>1365</v>
      </c>
      <c r="AM12" s="167">
        <f t="shared" si="1"/>
        <v>0.34296482412060303</v>
      </c>
    </row>
    <row r="13" spans="2:44" ht="15" customHeight="1" x14ac:dyDescent="0.2">
      <c r="B13" t="s">
        <v>275</v>
      </c>
      <c r="D13" s="125">
        <v>1E-3</v>
      </c>
      <c r="F13" s="8"/>
      <c r="G13" s="8"/>
      <c r="H13" s="8"/>
      <c r="I13" s="8"/>
      <c r="J13" s="8"/>
      <c r="K13" s="8"/>
      <c r="L13" s="8"/>
      <c r="M13" s="8"/>
      <c r="N13" s="8"/>
      <c r="O13" s="8"/>
      <c r="P13" s="8"/>
      <c r="Q13" s="8"/>
      <c r="R13" s="8"/>
      <c r="S13" s="8"/>
      <c r="T13" s="8"/>
      <c r="U13" s="8"/>
      <c r="V13" s="8"/>
      <c r="W13" s="8"/>
      <c r="X13" s="8"/>
      <c r="AK13" s="149" t="s">
        <v>51</v>
      </c>
      <c r="AL13" s="169">
        <f t="shared" si="0"/>
        <v>835</v>
      </c>
      <c r="AM13" s="167">
        <f t="shared" si="1"/>
        <v>0.20979899497487436</v>
      </c>
    </row>
    <row r="14" spans="2:44" ht="15" customHeight="1" x14ac:dyDescent="0.2">
      <c r="F14" s="8"/>
      <c r="G14" s="8"/>
      <c r="H14" s="8"/>
      <c r="I14" s="8"/>
      <c r="J14" s="8"/>
      <c r="K14" s="8"/>
      <c r="L14" s="8"/>
      <c r="M14" s="8"/>
      <c r="N14" s="8"/>
      <c r="O14" s="8"/>
      <c r="P14" s="8"/>
      <c r="Q14" s="8"/>
      <c r="R14" s="8"/>
      <c r="S14" s="8"/>
      <c r="T14" s="8"/>
      <c r="U14" s="8"/>
      <c r="V14" s="8"/>
      <c r="W14" s="8"/>
      <c r="X14" s="8"/>
      <c r="AK14" s="149"/>
      <c r="AL14" s="169"/>
      <c r="AM14" s="167"/>
    </row>
    <row r="15" spans="2:44" ht="16" x14ac:dyDescent="0.2">
      <c r="B15" s="315" t="s">
        <v>55</v>
      </c>
      <c r="C15" s="315"/>
      <c r="D15" s="315"/>
      <c r="E15" s="315"/>
      <c r="F15" s="315"/>
      <c r="G15" s="315"/>
      <c r="H15" s="315"/>
      <c r="I15" s="315"/>
      <c r="J15" s="315"/>
      <c r="K15" s="315"/>
      <c r="L15" s="315"/>
      <c r="M15" s="315"/>
      <c r="N15" s="315"/>
      <c r="O15" s="315"/>
      <c r="P15" s="315"/>
      <c r="Q15" s="315"/>
      <c r="R15" s="315"/>
      <c r="S15" s="315"/>
      <c r="T15" s="315"/>
      <c r="U15" s="315"/>
      <c r="V15" s="315"/>
      <c r="W15" s="315"/>
      <c r="X15" s="315"/>
      <c r="Y15" s="315"/>
      <c r="Z15" s="315"/>
      <c r="AA15" s="315"/>
      <c r="AB15" s="315"/>
      <c r="AC15" s="315"/>
      <c r="AD15" s="315"/>
      <c r="AE15" s="315"/>
      <c r="AF15" s="315"/>
      <c r="AG15" s="315"/>
      <c r="AK15" s="149" t="s">
        <v>53</v>
      </c>
      <c r="AL15" s="169">
        <f>MROUND(INDEX($B$22:$X$28,MATCH(AK15,$B$22:$B$28,0),MATCH($AL$4,$B$17:$X$17,0)),5)</f>
        <v>495</v>
      </c>
      <c r="AM15" s="167">
        <f>AL15/AL$16</f>
        <v>0.12437185929648241</v>
      </c>
    </row>
    <row r="16" spans="2:44" x14ac:dyDescent="0.2">
      <c r="B16" s="127"/>
      <c r="C16" s="144" t="s">
        <v>35</v>
      </c>
      <c r="D16" s="145"/>
      <c r="E16" s="145"/>
      <c r="F16" s="145"/>
      <c r="G16" s="145"/>
      <c r="H16" s="145"/>
      <c r="I16" s="145"/>
      <c r="J16" s="145"/>
      <c r="K16" s="145"/>
      <c r="L16" s="145"/>
      <c r="M16" s="145"/>
      <c r="N16" s="145"/>
      <c r="O16" s="145"/>
      <c r="P16" s="145"/>
      <c r="Q16" s="145"/>
      <c r="R16" s="145"/>
      <c r="S16" s="145"/>
      <c r="T16" s="145"/>
      <c r="U16" s="145"/>
      <c r="V16" s="145"/>
      <c r="W16" s="145"/>
      <c r="X16" s="145"/>
      <c r="Z16" s="316" t="s">
        <v>56</v>
      </c>
      <c r="AA16" s="316"/>
      <c r="AB16" s="316"/>
      <c r="AC16" s="316"/>
      <c r="AD16" s="316"/>
      <c r="AF16" s="316" t="s">
        <v>57</v>
      </c>
      <c r="AG16" s="316"/>
      <c r="AK16" s="170" t="s">
        <v>58</v>
      </c>
      <c r="AL16" s="171">
        <f>SUM(AL8:AL15)</f>
        <v>3980</v>
      </c>
      <c r="AM16" s="172">
        <f>AL16/AL$16</f>
        <v>1</v>
      </c>
    </row>
    <row r="17" spans="2:33" x14ac:dyDescent="0.2">
      <c r="B17" s="129"/>
      <c r="C17" s="128">
        <v>2024</v>
      </c>
      <c r="D17" s="128">
        <f t="shared" ref="D17:V17" si="2">C17+1</f>
        <v>2025</v>
      </c>
      <c r="E17" s="128">
        <f t="shared" si="2"/>
        <v>2026</v>
      </c>
      <c r="F17" s="128">
        <f t="shared" si="2"/>
        <v>2027</v>
      </c>
      <c r="G17" s="128">
        <f t="shared" si="2"/>
        <v>2028</v>
      </c>
      <c r="H17" s="128">
        <f t="shared" si="2"/>
        <v>2029</v>
      </c>
      <c r="I17" s="128">
        <f t="shared" si="2"/>
        <v>2030</v>
      </c>
      <c r="J17" s="128">
        <f t="shared" si="2"/>
        <v>2031</v>
      </c>
      <c r="K17" s="128">
        <f t="shared" si="2"/>
        <v>2032</v>
      </c>
      <c r="L17" s="128">
        <f t="shared" si="2"/>
        <v>2033</v>
      </c>
      <c r="M17" s="128">
        <f t="shared" si="2"/>
        <v>2034</v>
      </c>
      <c r="N17" s="128">
        <f t="shared" si="2"/>
        <v>2035</v>
      </c>
      <c r="O17" s="128">
        <f t="shared" si="2"/>
        <v>2036</v>
      </c>
      <c r="P17" s="128">
        <f t="shared" si="2"/>
        <v>2037</v>
      </c>
      <c r="Q17" s="128">
        <f t="shared" si="2"/>
        <v>2038</v>
      </c>
      <c r="R17" s="128">
        <f t="shared" si="2"/>
        <v>2039</v>
      </c>
      <c r="S17" s="128">
        <f t="shared" si="2"/>
        <v>2040</v>
      </c>
      <c r="T17" s="128">
        <f t="shared" si="2"/>
        <v>2041</v>
      </c>
      <c r="U17" s="128">
        <f t="shared" si="2"/>
        <v>2042</v>
      </c>
      <c r="V17" s="128">
        <f t="shared" si="2"/>
        <v>2043</v>
      </c>
      <c r="W17" s="128">
        <f t="shared" ref="W17:X17" si="3">V17+1</f>
        <v>2044</v>
      </c>
      <c r="X17" s="128">
        <f t="shared" si="3"/>
        <v>2045</v>
      </c>
      <c r="Z17" s="128" t="s">
        <v>59</v>
      </c>
      <c r="AA17" s="128" t="s">
        <v>60</v>
      </c>
      <c r="AB17" s="128" t="s">
        <v>61</v>
      </c>
      <c r="AC17" s="128" t="s">
        <v>62</v>
      </c>
      <c r="AD17" s="128" t="s">
        <v>63</v>
      </c>
      <c r="AF17" s="128">
        <v>2024</v>
      </c>
      <c r="AG17" s="128">
        <f>X17</f>
        <v>2045</v>
      </c>
    </row>
    <row r="18" spans="2:33" ht="4" customHeight="1" x14ac:dyDescent="0.2">
      <c r="B18" s="6"/>
      <c r="C18" s="7"/>
      <c r="D18" s="8"/>
      <c r="E18" s="8"/>
      <c r="F18" s="8"/>
      <c r="G18" s="8"/>
      <c r="H18" s="8"/>
      <c r="I18" s="8"/>
      <c r="J18" s="8"/>
      <c r="K18" s="8"/>
      <c r="L18" s="8"/>
      <c r="M18" s="8"/>
      <c r="N18" s="8"/>
      <c r="O18" s="8"/>
      <c r="P18" s="8"/>
      <c r="Q18" s="8"/>
      <c r="R18" s="8"/>
      <c r="S18" s="8"/>
      <c r="T18" s="8"/>
      <c r="U18" s="8"/>
      <c r="V18" s="8"/>
      <c r="W18" s="8"/>
      <c r="X18" s="8"/>
    </row>
    <row r="19" spans="2:33" x14ac:dyDescent="0.2">
      <c r="B19" s="213" t="s">
        <v>64</v>
      </c>
      <c r="C19" s="214"/>
      <c r="D19" s="214"/>
      <c r="E19" s="222"/>
      <c r="F19" s="222"/>
      <c r="G19" s="222"/>
      <c r="H19" s="222"/>
      <c r="I19" s="222"/>
      <c r="J19" s="222"/>
      <c r="K19" s="222"/>
      <c r="L19" s="222"/>
      <c r="M19" s="222"/>
      <c r="N19" s="222"/>
      <c r="O19" s="222"/>
      <c r="P19" s="222"/>
      <c r="Q19" s="222"/>
      <c r="R19" s="222"/>
      <c r="S19" s="222"/>
      <c r="T19" s="214"/>
      <c r="U19" s="214"/>
      <c r="V19" s="214"/>
      <c r="W19" s="214"/>
      <c r="X19" s="214"/>
      <c r="Y19" s="214"/>
      <c r="Z19" s="214"/>
      <c r="AA19" s="223"/>
      <c r="AB19" s="223"/>
      <c r="AC19" s="223"/>
      <c r="AD19" s="223"/>
      <c r="AE19" s="214"/>
      <c r="AF19" s="214"/>
      <c r="AG19" s="214"/>
    </row>
    <row r="20" spans="2:33" x14ac:dyDescent="0.2">
      <c r="B20" s="18" t="s">
        <v>65</v>
      </c>
      <c r="C20" s="122">
        <f>BTC!D4</f>
        <v>65</v>
      </c>
      <c r="D20" s="8">
        <f t="shared" ref="D20:X20" si="4">C20*(1+D52)</f>
        <v>97.5</v>
      </c>
      <c r="E20" s="8">
        <f t="shared" si="4"/>
        <v>143.8125</v>
      </c>
      <c r="F20" s="8">
        <f t="shared" si="4"/>
        <v>208.52812499999999</v>
      </c>
      <c r="G20" s="8">
        <f t="shared" si="4"/>
        <v>297.15257812499993</v>
      </c>
      <c r="H20" s="8">
        <f t="shared" si="4"/>
        <v>416.01360937499987</v>
      </c>
      <c r="I20" s="8">
        <f t="shared" si="4"/>
        <v>572.01871289062478</v>
      </c>
      <c r="J20" s="8">
        <f t="shared" si="4"/>
        <v>772.22526240234333</v>
      </c>
      <c r="K20" s="8">
        <f t="shared" si="4"/>
        <v>1023.1984726831047</v>
      </c>
      <c r="L20" s="8">
        <f t="shared" si="4"/>
        <v>1330.1580144880359</v>
      </c>
      <c r="M20" s="8">
        <f t="shared" si="4"/>
        <v>1695.9514684722456</v>
      </c>
      <c r="N20" s="8">
        <f t="shared" si="4"/>
        <v>2119.9393355903067</v>
      </c>
      <c r="O20" s="8">
        <f t="shared" si="4"/>
        <v>2596.9256860981254</v>
      </c>
      <c r="P20" s="8">
        <f t="shared" si="4"/>
        <v>3116.3108233177504</v>
      </c>
      <c r="Q20" s="8">
        <f t="shared" si="4"/>
        <v>3739.5729879813002</v>
      </c>
      <c r="R20" s="8">
        <f t="shared" si="4"/>
        <v>4487.4875855775599</v>
      </c>
      <c r="S20" s="8">
        <f t="shared" si="4"/>
        <v>5384.9851026930719</v>
      </c>
      <c r="T20" s="8">
        <f t="shared" si="4"/>
        <v>6461.9821232316863</v>
      </c>
      <c r="U20" s="8">
        <f t="shared" si="4"/>
        <v>7754.3785478780228</v>
      </c>
      <c r="V20" s="8">
        <f t="shared" si="4"/>
        <v>9305.2542574536274</v>
      </c>
      <c r="W20" s="8">
        <f t="shared" si="4"/>
        <v>11166.305108944352</v>
      </c>
      <c r="X20" s="8">
        <f t="shared" si="4"/>
        <v>13399.566130733223</v>
      </c>
      <c r="Z20" s="12">
        <f t="shared" ref="Z20:Z21" si="5">IFERROR((D20/C20)-1,"")</f>
        <v>0.5</v>
      </c>
      <c r="AA20" s="12">
        <f t="shared" ref="AA20:AA21" si="6">IFERROR((I20/C20)^(1/6)-1,"")</f>
        <v>0.43686559725988783</v>
      </c>
      <c r="AB20" s="12">
        <f t="shared" ref="AB20:AB21" si="7">IFERROR((N20/C20)^(1/11)-1,"")</f>
        <v>0.37272244333469207</v>
      </c>
      <c r="AC20" s="12">
        <f t="shared" ref="AC20:AC21" si="8">IFERROR((S20/C20)^(1/16)-1,"")</f>
        <v>0.31792879499327231</v>
      </c>
      <c r="AD20" s="12">
        <f t="shared" ref="AD20:AD21" si="9">IFERROR((X20/C20)^(1/21)-1,"")</f>
        <v>0.28883975252734717</v>
      </c>
    </row>
    <row r="21" spans="2:33" x14ac:dyDescent="0.2">
      <c r="B21" s="130" t="s">
        <v>66</v>
      </c>
      <c r="C21" s="131">
        <v>19.802</v>
      </c>
      <c r="D21" s="132">
        <v>19.966000000000001</v>
      </c>
      <c r="E21" s="132">
        <v>20.13</v>
      </c>
      <c r="F21" s="132">
        <v>20.295000000000002</v>
      </c>
      <c r="G21" s="132">
        <v>20.401</v>
      </c>
      <c r="H21" s="132">
        <v>20.484000000000002</v>
      </c>
      <c r="I21" s="132">
        <v>20.565999999999999</v>
      </c>
      <c r="J21" s="132">
        <v>20.648</v>
      </c>
      <c r="K21" s="132">
        <v>20.701000000000001</v>
      </c>
      <c r="L21" s="132">
        <v>20.742000000000001</v>
      </c>
      <c r="M21" s="132">
        <v>20.783000000000001</v>
      </c>
      <c r="N21" s="132">
        <v>20.824000000000002</v>
      </c>
      <c r="O21" s="132">
        <v>20.85</v>
      </c>
      <c r="P21" s="132">
        <v>20.870999999999999</v>
      </c>
      <c r="Q21" s="132">
        <v>20.891999999999999</v>
      </c>
      <c r="R21" s="132">
        <v>20.911999999999999</v>
      </c>
      <c r="S21" s="132">
        <v>20.925000000000001</v>
      </c>
      <c r="T21" s="132">
        <v>20.934999999999999</v>
      </c>
      <c r="U21" s="132">
        <v>20.946000000000002</v>
      </c>
      <c r="V21" s="132">
        <v>20.956</v>
      </c>
      <c r="W21" s="132">
        <v>20.963000000000001</v>
      </c>
      <c r="X21" s="132">
        <v>20.968</v>
      </c>
      <c r="Z21" s="133">
        <f t="shared" si="5"/>
        <v>8.2819917180083635E-3</v>
      </c>
      <c r="AA21" s="133">
        <f t="shared" si="6"/>
        <v>6.3293267538062636E-3</v>
      </c>
      <c r="AB21" s="133">
        <f t="shared" si="7"/>
        <v>4.585319186082959E-3</v>
      </c>
      <c r="AC21" s="133">
        <f t="shared" si="8"/>
        <v>3.4535544290386078E-3</v>
      </c>
      <c r="AD21" s="133">
        <f t="shared" si="9"/>
        <v>2.7282159365804581E-3</v>
      </c>
    </row>
    <row r="22" spans="2:33" x14ac:dyDescent="0.2">
      <c r="B22" t="s">
        <v>50</v>
      </c>
      <c r="C22" s="2">
        <f t="shared" ref="C22:X22" si="10">C20*C21/10^3</f>
        <v>1.2871299999999999</v>
      </c>
      <c r="D22" s="2">
        <f t="shared" si="10"/>
        <v>1.9466850000000002</v>
      </c>
      <c r="E22" s="2">
        <f t="shared" si="10"/>
        <v>2.8949456249999996</v>
      </c>
      <c r="F22" s="2">
        <f t="shared" si="10"/>
        <v>4.2320782968749997</v>
      </c>
      <c r="G22" s="2">
        <f t="shared" si="10"/>
        <v>6.062209746328123</v>
      </c>
      <c r="H22" s="2">
        <f t="shared" si="10"/>
        <v>8.5216227744374979</v>
      </c>
      <c r="I22" s="2">
        <f t="shared" si="10"/>
        <v>11.764136849308588</v>
      </c>
      <c r="J22" s="2">
        <f t="shared" si="10"/>
        <v>15.944907218083584</v>
      </c>
      <c r="K22" s="2">
        <f t="shared" si="10"/>
        <v>21.181231583012952</v>
      </c>
      <c r="L22" s="2">
        <f t="shared" si="10"/>
        <v>27.590137536510841</v>
      </c>
      <c r="M22" s="2">
        <f t="shared" si="10"/>
        <v>35.246959369258676</v>
      </c>
      <c r="N22" s="2">
        <f t="shared" si="10"/>
        <v>44.145616724332548</v>
      </c>
      <c r="O22" s="2">
        <f t="shared" si="10"/>
        <v>54.145900555145921</v>
      </c>
      <c r="P22" s="2">
        <f t="shared" si="10"/>
        <v>65.040523193464765</v>
      </c>
      <c r="Q22" s="2">
        <f t="shared" si="10"/>
        <v>78.127158864905311</v>
      </c>
      <c r="R22" s="2">
        <f t="shared" si="10"/>
        <v>93.842340389597922</v>
      </c>
      <c r="S22" s="2">
        <f t="shared" si="10"/>
        <v>112.68081327385254</v>
      </c>
      <c r="T22" s="2">
        <f t="shared" si="10"/>
        <v>135.28159574985534</v>
      </c>
      <c r="U22" s="2">
        <f t="shared" si="10"/>
        <v>162.42321306385307</v>
      </c>
      <c r="V22" s="2">
        <f t="shared" si="10"/>
        <v>195.00090821919821</v>
      </c>
      <c r="W22" s="2">
        <f t="shared" si="10"/>
        <v>234.07925399880048</v>
      </c>
      <c r="X22" s="2">
        <f t="shared" si="10"/>
        <v>280.96210262921426</v>
      </c>
      <c r="Z22" s="146">
        <f t="shared" ref="Z22:Z29" si="11">IFERROR((D22/C22)-1,"")</f>
        <v>0.51242298757701277</v>
      </c>
      <c r="AA22" s="146">
        <f t="shared" ref="AA22:AA29" si="12">IFERROR((I22/C22)^(1/6)-1,"")</f>
        <v>0.44595998912624846</v>
      </c>
      <c r="AB22" s="146">
        <f t="shared" ref="AB22:AB29" si="13">IFERROR((N22/C22)^(1/11)-1,"")</f>
        <v>0.37901681389128128</v>
      </c>
      <c r="AC22" s="146">
        <f t="shared" ref="AC22:AC29" si="14">IFERROR((S22/C22)^(1/16)-1,"")</f>
        <v>0.32248033382037877</v>
      </c>
      <c r="AD22" s="146">
        <f t="shared" ref="AD22:AD29" si="15">IFERROR((X22/C22)^(1/21)-1,"")</f>
        <v>0.29235598567989074</v>
      </c>
      <c r="AF22" s="146">
        <f t="shared" ref="AF22:AF29" si="16">C22/C$29</f>
        <v>1.429688326212105E-3</v>
      </c>
      <c r="AG22" s="146">
        <f t="shared" ref="AG22:AG29" si="17">X22/X$29</f>
        <v>7.0494895335945912E-2</v>
      </c>
    </row>
    <row r="23" spans="2:33" x14ac:dyDescent="0.2">
      <c r="B23" t="s">
        <v>42</v>
      </c>
      <c r="C23" s="123">
        <v>16</v>
      </c>
      <c r="D23" s="2">
        <f t="shared" ref="D23:X23" si="18">C23*(1+D55)</f>
        <v>16.8</v>
      </c>
      <c r="E23" s="2">
        <f t="shared" si="18"/>
        <v>17.64</v>
      </c>
      <c r="F23" s="2">
        <f t="shared" si="18"/>
        <v>18.522000000000002</v>
      </c>
      <c r="G23" s="2">
        <f t="shared" si="18"/>
        <v>19.448100000000004</v>
      </c>
      <c r="H23" s="2">
        <f t="shared" si="18"/>
        <v>20.420505000000006</v>
      </c>
      <c r="I23" s="2">
        <f t="shared" si="18"/>
        <v>21.441530250000007</v>
      </c>
      <c r="J23" s="2">
        <f t="shared" si="18"/>
        <v>22.513606762500007</v>
      </c>
      <c r="K23" s="2">
        <f t="shared" si="18"/>
        <v>23.639287100625008</v>
      </c>
      <c r="L23" s="2">
        <f t="shared" si="18"/>
        <v>24.82125145565626</v>
      </c>
      <c r="M23" s="2">
        <f t="shared" si="18"/>
        <v>26.062314028439072</v>
      </c>
      <c r="N23" s="2">
        <f t="shared" si="18"/>
        <v>27.365429729861027</v>
      </c>
      <c r="O23" s="2">
        <f t="shared" si="18"/>
        <v>28.733701216354081</v>
      </c>
      <c r="P23" s="2">
        <f t="shared" si="18"/>
        <v>30.170386277171787</v>
      </c>
      <c r="Q23" s="2">
        <f t="shared" si="18"/>
        <v>31.678905591030379</v>
      </c>
      <c r="R23" s="2">
        <f t="shared" si="18"/>
        <v>33.2628508705819</v>
      </c>
      <c r="S23" s="2">
        <f t="shared" si="18"/>
        <v>34.925993414110998</v>
      </c>
      <c r="T23" s="2">
        <f t="shared" si="18"/>
        <v>36.672293084816552</v>
      </c>
      <c r="U23" s="2">
        <f t="shared" si="18"/>
        <v>38.505907739057378</v>
      </c>
      <c r="V23" s="2">
        <f t="shared" si="18"/>
        <v>40.431203126010246</v>
      </c>
      <c r="W23" s="2">
        <f t="shared" si="18"/>
        <v>42.452763282310762</v>
      </c>
      <c r="X23" s="2">
        <f t="shared" si="18"/>
        <v>44.575401446426305</v>
      </c>
      <c r="Z23" s="12">
        <f t="shared" si="11"/>
        <v>5.0000000000000044E-2</v>
      </c>
      <c r="AA23" s="12">
        <f t="shared" si="12"/>
        <v>5.0000000000000044E-2</v>
      </c>
      <c r="AB23" s="12">
        <f t="shared" si="13"/>
        <v>5.0000000000000044E-2</v>
      </c>
      <c r="AC23" s="12">
        <f t="shared" si="14"/>
        <v>5.0000000000000044E-2</v>
      </c>
      <c r="AD23" s="12">
        <f t="shared" si="15"/>
        <v>5.0000000000000044E-2</v>
      </c>
      <c r="AF23" s="12">
        <f t="shared" si="16"/>
        <v>1.7772107882959517E-2</v>
      </c>
      <c r="AG23" s="12">
        <f t="shared" si="17"/>
        <v>1.1184206802689467E-2</v>
      </c>
    </row>
    <row r="24" spans="2:33" x14ac:dyDescent="0.2">
      <c r="B24" t="s">
        <v>44</v>
      </c>
      <c r="C24" s="123">
        <v>18</v>
      </c>
      <c r="D24" s="2">
        <f t="shared" ref="D24:X24" si="19">C24*(1+D56)</f>
        <v>19.62</v>
      </c>
      <c r="E24" s="2">
        <f t="shared" si="19"/>
        <v>21.385800000000003</v>
      </c>
      <c r="F24" s="2">
        <f t="shared" si="19"/>
        <v>23.310522000000006</v>
      </c>
      <c r="G24" s="2">
        <f t="shared" si="19"/>
        <v>25.408468980000009</v>
      </c>
      <c r="H24" s="2">
        <f t="shared" si="19"/>
        <v>27.695231188200012</v>
      </c>
      <c r="I24" s="2">
        <f t="shared" si="19"/>
        <v>30.187801995138017</v>
      </c>
      <c r="J24" s="2">
        <f t="shared" si="19"/>
        <v>32.904704174700441</v>
      </c>
      <c r="K24" s="2">
        <f t="shared" si="19"/>
        <v>35.866127550423485</v>
      </c>
      <c r="L24" s="2">
        <f t="shared" si="19"/>
        <v>39.094079029961598</v>
      </c>
      <c r="M24" s="2">
        <f t="shared" si="19"/>
        <v>42.612546142658147</v>
      </c>
      <c r="N24" s="2">
        <f t="shared" si="19"/>
        <v>46.447675295497383</v>
      </c>
      <c r="O24" s="2">
        <f t="shared" si="19"/>
        <v>50.62796607209215</v>
      </c>
      <c r="P24" s="2">
        <f t="shared" si="19"/>
        <v>55.184483018580444</v>
      </c>
      <c r="Q24" s="2">
        <f t="shared" si="19"/>
        <v>60.151086490252688</v>
      </c>
      <c r="R24" s="2">
        <f t="shared" si="19"/>
        <v>65.564684274375438</v>
      </c>
      <c r="S24" s="2">
        <f t="shared" si="19"/>
        <v>71.465505859069239</v>
      </c>
      <c r="T24" s="2">
        <f t="shared" si="19"/>
        <v>77.897401386385482</v>
      </c>
      <c r="U24" s="2">
        <f t="shared" si="19"/>
        <v>84.908167511160187</v>
      </c>
      <c r="V24" s="2">
        <f t="shared" si="19"/>
        <v>92.54990258716461</v>
      </c>
      <c r="W24" s="2">
        <f t="shared" si="19"/>
        <v>100.87939382000943</v>
      </c>
      <c r="X24" s="2">
        <f t="shared" si="19"/>
        <v>109.95853926381028</v>
      </c>
      <c r="Z24" s="12">
        <f t="shared" si="11"/>
        <v>9.000000000000008E-2</v>
      </c>
      <c r="AA24" s="12">
        <f t="shared" si="12"/>
        <v>9.000000000000008E-2</v>
      </c>
      <c r="AB24" s="12">
        <f t="shared" si="13"/>
        <v>9.000000000000008E-2</v>
      </c>
      <c r="AC24" s="12">
        <f t="shared" si="14"/>
        <v>9.000000000000008E-2</v>
      </c>
      <c r="AD24" s="12">
        <f t="shared" si="15"/>
        <v>9.000000000000008E-2</v>
      </c>
      <c r="AF24" s="12">
        <f t="shared" si="16"/>
        <v>1.9993621368329457E-2</v>
      </c>
      <c r="AG24" s="12">
        <f t="shared" si="17"/>
        <v>2.7589186029567416E-2</v>
      </c>
    </row>
    <row r="25" spans="2:33" x14ac:dyDescent="0.2">
      <c r="B25" t="s">
        <v>46</v>
      </c>
      <c r="C25" s="123">
        <v>115</v>
      </c>
      <c r="D25" s="2">
        <f t="shared" ref="D25:X25" si="20">C25*(1+D57)</f>
        <v>126.50000000000001</v>
      </c>
      <c r="E25" s="2">
        <f t="shared" si="20"/>
        <v>139.15000000000003</v>
      </c>
      <c r="F25" s="2">
        <f t="shared" si="20"/>
        <v>153.06500000000005</v>
      </c>
      <c r="G25" s="2">
        <f t="shared" si="20"/>
        <v>168.37150000000008</v>
      </c>
      <c r="H25" s="2">
        <f t="shared" si="20"/>
        <v>185.20865000000012</v>
      </c>
      <c r="I25" s="2">
        <f t="shared" si="20"/>
        <v>203.72951500000013</v>
      </c>
      <c r="J25" s="2">
        <f t="shared" si="20"/>
        <v>224.10246650000016</v>
      </c>
      <c r="K25" s="2">
        <f t="shared" si="20"/>
        <v>246.5127131500002</v>
      </c>
      <c r="L25" s="2">
        <f t="shared" si="20"/>
        <v>271.16398446500023</v>
      </c>
      <c r="M25" s="2">
        <f t="shared" si="20"/>
        <v>298.28038291150028</v>
      </c>
      <c r="N25" s="2">
        <f t="shared" si="20"/>
        <v>328.10842120265033</v>
      </c>
      <c r="O25" s="2">
        <f t="shared" si="20"/>
        <v>360.91926332291541</v>
      </c>
      <c r="P25" s="2">
        <f t="shared" si="20"/>
        <v>397.01118965520698</v>
      </c>
      <c r="Q25" s="2">
        <f t="shared" si="20"/>
        <v>436.7123086207277</v>
      </c>
      <c r="R25" s="2">
        <f t="shared" si="20"/>
        <v>480.38353948280053</v>
      </c>
      <c r="S25" s="2">
        <f t="shared" si="20"/>
        <v>528.42189343108066</v>
      </c>
      <c r="T25" s="2">
        <f t="shared" si="20"/>
        <v>581.26408277418875</v>
      </c>
      <c r="U25" s="2">
        <f t="shared" si="20"/>
        <v>639.39049105160768</v>
      </c>
      <c r="V25" s="2">
        <f t="shared" si="20"/>
        <v>703.32954015676853</v>
      </c>
      <c r="W25" s="2">
        <f t="shared" si="20"/>
        <v>773.66249417244546</v>
      </c>
      <c r="X25" s="2">
        <f t="shared" si="20"/>
        <v>851.02874358969007</v>
      </c>
      <c r="Z25" s="12">
        <f t="shared" si="11"/>
        <v>0.10000000000000009</v>
      </c>
      <c r="AA25" s="12">
        <f t="shared" si="12"/>
        <v>0.10000000000000009</v>
      </c>
      <c r="AB25" s="12">
        <f t="shared" si="13"/>
        <v>0.10000000000000009</v>
      </c>
      <c r="AC25" s="12">
        <f t="shared" si="14"/>
        <v>0.10000000000000009</v>
      </c>
      <c r="AD25" s="12">
        <f t="shared" si="15"/>
        <v>0.10000000000000009</v>
      </c>
      <c r="AF25" s="12">
        <f t="shared" si="16"/>
        <v>0.12773702540877152</v>
      </c>
      <c r="AG25" s="12">
        <f t="shared" si="17"/>
        <v>0.21352766670603174</v>
      </c>
    </row>
    <row r="26" spans="2:33" x14ac:dyDescent="0.2">
      <c r="B26" t="s">
        <v>49</v>
      </c>
      <c r="C26" s="123">
        <v>330</v>
      </c>
      <c r="D26" s="2">
        <f t="shared" ref="D26:X26" si="21">C26*(1+D58)</f>
        <v>353.1</v>
      </c>
      <c r="E26" s="2">
        <f t="shared" si="21"/>
        <v>377.81700000000006</v>
      </c>
      <c r="F26" s="2">
        <f t="shared" si="21"/>
        <v>404.2641900000001</v>
      </c>
      <c r="G26" s="2">
        <f t="shared" si="21"/>
        <v>432.56268330000012</v>
      </c>
      <c r="H26" s="2">
        <f t="shared" si="21"/>
        <v>462.84207113100013</v>
      </c>
      <c r="I26" s="2">
        <f t="shared" si="21"/>
        <v>495.24101611017016</v>
      </c>
      <c r="J26" s="2">
        <f t="shared" si="21"/>
        <v>529.90788723788205</v>
      </c>
      <c r="K26" s="2">
        <f t="shared" si="21"/>
        <v>567.00143934453388</v>
      </c>
      <c r="L26" s="2">
        <f t="shared" si="21"/>
        <v>606.69154009865133</v>
      </c>
      <c r="M26" s="2">
        <f t="shared" si="21"/>
        <v>649.15994790555692</v>
      </c>
      <c r="N26" s="2">
        <f t="shared" si="21"/>
        <v>694.60114425894596</v>
      </c>
      <c r="O26" s="2">
        <f t="shared" si="21"/>
        <v>743.22322435707224</v>
      </c>
      <c r="P26" s="2">
        <f t="shared" si="21"/>
        <v>795.24885006206739</v>
      </c>
      <c r="Q26" s="2">
        <f t="shared" si="21"/>
        <v>850.91626956641221</v>
      </c>
      <c r="R26" s="2">
        <f t="shared" si="21"/>
        <v>910.48040843606111</v>
      </c>
      <c r="S26" s="2">
        <f t="shared" si="21"/>
        <v>974.2140370265854</v>
      </c>
      <c r="T26" s="2">
        <f t="shared" si="21"/>
        <v>1042.4090196184463</v>
      </c>
      <c r="U26" s="2">
        <f t="shared" si="21"/>
        <v>1115.3776509917377</v>
      </c>
      <c r="V26" s="2">
        <f t="shared" si="21"/>
        <v>1193.4540865611593</v>
      </c>
      <c r="W26" s="2">
        <f t="shared" si="21"/>
        <v>1276.9958726204407</v>
      </c>
      <c r="X26" s="2">
        <f t="shared" si="21"/>
        <v>1366.3855837038716</v>
      </c>
      <c r="Z26" s="12">
        <f t="shared" si="11"/>
        <v>7.0000000000000062E-2</v>
      </c>
      <c r="AA26" s="12">
        <f t="shared" si="12"/>
        <v>7.0000000000000062E-2</v>
      </c>
      <c r="AB26" s="12">
        <f t="shared" si="13"/>
        <v>7.0000000000000062E-2</v>
      </c>
      <c r="AC26" s="12">
        <f t="shared" si="14"/>
        <v>7.0000000000000062E-2</v>
      </c>
      <c r="AD26" s="12">
        <f t="shared" si="15"/>
        <v>7.0000000000000062E-2</v>
      </c>
      <c r="AF26" s="12">
        <f t="shared" si="16"/>
        <v>0.36654972508604006</v>
      </c>
      <c r="AG26" s="12">
        <f t="shared" si="17"/>
        <v>0.34283345622191452</v>
      </c>
    </row>
    <row r="27" spans="2:33" x14ac:dyDescent="0.2">
      <c r="B27" t="s">
        <v>51</v>
      </c>
      <c r="C27" s="123">
        <v>300</v>
      </c>
      <c r="D27" s="2">
        <f t="shared" ref="D27:X27" si="22">C27*(1+D59)</f>
        <v>315</v>
      </c>
      <c r="E27" s="2">
        <f t="shared" si="22"/>
        <v>330.75</v>
      </c>
      <c r="F27" s="2">
        <f t="shared" si="22"/>
        <v>347.28750000000002</v>
      </c>
      <c r="G27" s="2">
        <f t="shared" si="22"/>
        <v>364.65187500000002</v>
      </c>
      <c r="H27" s="2">
        <f t="shared" si="22"/>
        <v>382.88446875000005</v>
      </c>
      <c r="I27" s="2">
        <f t="shared" si="22"/>
        <v>402.0286921875001</v>
      </c>
      <c r="J27" s="2">
        <f t="shared" si="22"/>
        <v>422.13012679687512</v>
      </c>
      <c r="K27" s="2">
        <f t="shared" si="22"/>
        <v>443.23663313671886</v>
      </c>
      <c r="L27" s="2">
        <f t="shared" si="22"/>
        <v>465.39846479355481</v>
      </c>
      <c r="M27" s="2">
        <f t="shared" si="22"/>
        <v>488.66838803323259</v>
      </c>
      <c r="N27" s="2">
        <f t="shared" si="22"/>
        <v>513.10180743489423</v>
      </c>
      <c r="O27" s="2">
        <f t="shared" si="22"/>
        <v>538.75689780663902</v>
      </c>
      <c r="P27" s="2">
        <f t="shared" si="22"/>
        <v>565.69474269697105</v>
      </c>
      <c r="Q27" s="2">
        <f t="shared" si="22"/>
        <v>593.97947983181962</v>
      </c>
      <c r="R27" s="2">
        <f t="shared" si="22"/>
        <v>623.67845382341068</v>
      </c>
      <c r="S27" s="2">
        <f t="shared" si="22"/>
        <v>654.86237651458123</v>
      </c>
      <c r="T27" s="2">
        <f t="shared" si="22"/>
        <v>687.60549534031031</v>
      </c>
      <c r="U27" s="2">
        <f t="shared" si="22"/>
        <v>721.98577010732583</v>
      </c>
      <c r="V27" s="2">
        <f t="shared" si="22"/>
        <v>758.08505861269214</v>
      </c>
      <c r="W27" s="2">
        <f t="shared" si="22"/>
        <v>795.98931154332672</v>
      </c>
      <c r="X27" s="2">
        <f t="shared" si="22"/>
        <v>835.78877712049314</v>
      </c>
      <c r="Z27" s="12">
        <f t="shared" si="11"/>
        <v>5.0000000000000044E-2</v>
      </c>
      <c r="AA27" s="12">
        <f t="shared" si="12"/>
        <v>5.0000000000000044E-2</v>
      </c>
      <c r="AB27" s="12">
        <f t="shared" si="13"/>
        <v>5.0000000000000044E-2</v>
      </c>
      <c r="AC27" s="12">
        <f t="shared" si="14"/>
        <v>5.0000000000000044E-2</v>
      </c>
      <c r="AD27" s="12">
        <f t="shared" si="15"/>
        <v>5.0000000000000044E-2</v>
      </c>
      <c r="AF27" s="12">
        <f t="shared" si="16"/>
        <v>0.33322702280549094</v>
      </c>
      <c r="AG27" s="12">
        <f t="shared" si="17"/>
        <v>0.20970387755042746</v>
      </c>
    </row>
    <row r="28" spans="2:33" x14ac:dyDescent="0.2">
      <c r="B28" t="s">
        <v>53</v>
      </c>
      <c r="C28" s="124">
        <v>120</v>
      </c>
      <c r="D28" s="2">
        <f t="shared" ref="D28:X28" si="23">C28*(1+D60)</f>
        <v>128.4</v>
      </c>
      <c r="E28" s="2">
        <f t="shared" si="23"/>
        <v>137.38800000000001</v>
      </c>
      <c r="F28" s="2">
        <f t="shared" si="23"/>
        <v>147.00516000000002</v>
      </c>
      <c r="G28" s="2">
        <f t="shared" si="23"/>
        <v>157.29552120000002</v>
      </c>
      <c r="H28" s="2">
        <f t="shared" si="23"/>
        <v>168.30620768400004</v>
      </c>
      <c r="I28" s="2">
        <f t="shared" si="23"/>
        <v>180.08764222188006</v>
      </c>
      <c r="J28" s="2">
        <f t="shared" si="23"/>
        <v>192.69377717741168</v>
      </c>
      <c r="K28" s="2">
        <f t="shared" si="23"/>
        <v>206.18234157983051</v>
      </c>
      <c r="L28" s="2">
        <f t="shared" si="23"/>
        <v>220.61510549041864</v>
      </c>
      <c r="M28" s="2">
        <f t="shared" si="23"/>
        <v>236.05816287474795</v>
      </c>
      <c r="N28" s="2">
        <f t="shared" si="23"/>
        <v>252.58223427598031</v>
      </c>
      <c r="O28" s="2">
        <f t="shared" si="23"/>
        <v>270.26299067529897</v>
      </c>
      <c r="P28" s="2">
        <f t="shared" si="23"/>
        <v>289.1814000225699</v>
      </c>
      <c r="Q28" s="2">
        <f t="shared" si="23"/>
        <v>309.42409802414983</v>
      </c>
      <c r="R28" s="2">
        <f t="shared" si="23"/>
        <v>331.08378488584032</v>
      </c>
      <c r="S28" s="2">
        <f t="shared" si="23"/>
        <v>354.25964982784916</v>
      </c>
      <c r="T28" s="2">
        <f t="shared" si="23"/>
        <v>379.0578253157986</v>
      </c>
      <c r="U28" s="2">
        <f t="shared" si="23"/>
        <v>405.5918730879045</v>
      </c>
      <c r="V28" s="2">
        <f t="shared" si="23"/>
        <v>433.98330420405784</v>
      </c>
      <c r="W28" s="2">
        <f t="shared" si="23"/>
        <v>464.3621354983419</v>
      </c>
      <c r="X28" s="2">
        <f t="shared" si="23"/>
        <v>496.86748498322584</v>
      </c>
      <c r="Z28" s="12">
        <f t="shared" si="11"/>
        <v>7.0000000000000062E-2</v>
      </c>
      <c r="AA28" s="12">
        <f t="shared" si="12"/>
        <v>7.0000000000000062E-2</v>
      </c>
      <c r="AB28" s="12">
        <f t="shared" si="13"/>
        <v>7.0000000000000062E-2</v>
      </c>
      <c r="AC28" s="12">
        <f t="shared" si="14"/>
        <v>7.0000000000000062E-2</v>
      </c>
      <c r="AD28" s="12">
        <f t="shared" si="15"/>
        <v>7.0000000000000062E-2</v>
      </c>
      <c r="AF28" s="12">
        <f t="shared" si="16"/>
        <v>0.13329080912219637</v>
      </c>
      <c r="AG28" s="12">
        <f t="shared" si="17"/>
        <v>0.12466671135342342</v>
      </c>
    </row>
    <row r="29" spans="2:33" x14ac:dyDescent="0.2">
      <c r="B29" s="134" t="s">
        <v>67</v>
      </c>
      <c r="C29" s="135">
        <f t="shared" ref="C29:X29" si="24">C22+SUM(C23:C28)</f>
        <v>900.28713000000005</v>
      </c>
      <c r="D29" s="135">
        <f t="shared" si="24"/>
        <v>961.36668499999996</v>
      </c>
      <c r="E29" s="135">
        <f t="shared" si="24"/>
        <v>1027.0257456250001</v>
      </c>
      <c r="F29" s="135">
        <f t="shared" si="24"/>
        <v>1097.6864502968751</v>
      </c>
      <c r="G29" s="135">
        <f t="shared" si="24"/>
        <v>1173.8003582263284</v>
      </c>
      <c r="H29" s="135">
        <f t="shared" si="24"/>
        <v>1255.878756527638</v>
      </c>
      <c r="I29" s="135">
        <f t="shared" si="24"/>
        <v>1344.4803346139972</v>
      </c>
      <c r="J29" s="135">
        <f t="shared" si="24"/>
        <v>1440.197475867453</v>
      </c>
      <c r="K29" s="135">
        <f t="shared" si="24"/>
        <v>1543.619773445145</v>
      </c>
      <c r="L29" s="135">
        <f t="shared" si="24"/>
        <v>1655.3745628697538</v>
      </c>
      <c r="M29" s="135">
        <f t="shared" si="24"/>
        <v>1776.0887012653936</v>
      </c>
      <c r="N29" s="135">
        <f t="shared" si="24"/>
        <v>1906.3523289221616</v>
      </c>
      <c r="O29" s="135">
        <f t="shared" si="24"/>
        <v>2046.6699440055177</v>
      </c>
      <c r="P29" s="135">
        <f t="shared" si="24"/>
        <v>2197.5315749260321</v>
      </c>
      <c r="Q29" s="135">
        <f t="shared" si="24"/>
        <v>2360.9893069892978</v>
      </c>
      <c r="R29" s="135">
        <f t="shared" si="24"/>
        <v>2538.296062162668</v>
      </c>
      <c r="S29" s="135">
        <f t="shared" si="24"/>
        <v>2730.8302693471287</v>
      </c>
      <c r="T29" s="135">
        <f t="shared" si="24"/>
        <v>2940.1877132698019</v>
      </c>
      <c r="U29" s="135">
        <f t="shared" si="24"/>
        <v>3168.183073552646</v>
      </c>
      <c r="V29" s="135">
        <f t="shared" si="24"/>
        <v>3416.8340034670509</v>
      </c>
      <c r="W29" s="135">
        <f t="shared" si="24"/>
        <v>3688.4212249356756</v>
      </c>
      <c r="X29" s="135">
        <f t="shared" si="24"/>
        <v>3985.5666327367317</v>
      </c>
      <c r="Z29" s="136">
        <f t="shared" si="11"/>
        <v>6.7844527556447431E-2</v>
      </c>
      <c r="AA29" s="136">
        <f t="shared" si="12"/>
        <v>6.9126026675805585E-2</v>
      </c>
      <c r="AB29" s="136">
        <f t="shared" si="13"/>
        <v>7.0582631615579761E-2</v>
      </c>
      <c r="AC29" s="136">
        <f t="shared" si="14"/>
        <v>7.1814440919043321E-2</v>
      </c>
      <c r="AD29" s="136">
        <f t="shared" si="15"/>
        <v>7.3413608281815312E-2</v>
      </c>
      <c r="AF29" s="136">
        <f t="shared" si="16"/>
        <v>1</v>
      </c>
      <c r="AG29" s="136">
        <f t="shared" si="17"/>
        <v>1</v>
      </c>
    </row>
    <row r="30" spans="2:33" x14ac:dyDescent="0.2">
      <c r="B30" s="18" t="s">
        <v>68</v>
      </c>
      <c r="C30" s="17"/>
      <c r="D30" s="12">
        <f t="shared" ref="D30:X30" si="25">D29/C29-1</f>
        <v>6.7844527556447431E-2</v>
      </c>
      <c r="E30" s="12">
        <f t="shared" si="25"/>
        <v>6.8297624256659306E-2</v>
      </c>
      <c r="F30" s="12">
        <f t="shared" si="25"/>
        <v>6.8801298285734891E-2</v>
      </c>
      <c r="G30" s="12">
        <f t="shared" si="25"/>
        <v>6.9340300145700029E-2</v>
      </c>
      <c r="H30" s="12">
        <f t="shared" si="25"/>
        <v>6.9925347803892368E-2</v>
      </c>
      <c r="I30" s="12">
        <f t="shared" si="25"/>
        <v>7.0549467952887968E-2</v>
      </c>
      <c r="J30" s="12">
        <f t="shared" si="25"/>
        <v>7.1192667374295526E-2</v>
      </c>
      <c r="K30" s="12">
        <f t="shared" si="25"/>
        <v>7.1811192083501618E-2</v>
      </c>
      <c r="L30" s="12">
        <f t="shared" si="25"/>
        <v>7.2397873716781636E-2</v>
      </c>
      <c r="M30" s="12">
        <f t="shared" si="25"/>
        <v>7.2922552456267109E-2</v>
      </c>
      <c r="N30" s="12">
        <f t="shared" si="25"/>
        <v>7.3342974122835303E-2</v>
      </c>
      <c r="O30" s="12">
        <f t="shared" si="25"/>
        <v>7.3605289512611138E-2</v>
      </c>
      <c r="P30" s="12">
        <f t="shared" si="25"/>
        <v>7.371077655308933E-2</v>
      </c>
      <c r="Q30" s="12">
        <f t="shared" si="25"/>
        <v>7.438242705057263E-2</v>
      </c>
      <c r="R30" s="12">
        <f t="shared" si="25"/>
        <v>7.5098499873965663E-2</v>
      </c>
      <c r="S30" s="12">
        <f t="shared" si="25"/>
        <v>7.5851753487108375E-2</v>
      </c>
      <c r="T30" s="12">
        <f t="shared" si="25"/>
        <v>7.6664392610795717E-2</v>
      </c>
      <c r="U30" s="12">
        <f t="shared" si="25"/>
        <v>7.7544491208450417E-2</v>
      </c>
      <c r="V30" s="12">
        <f t="shared" si="25"/>
        <v>7.848376313543648E-2</v>
      </c>
      <c r="W30" s="12">
        <f t="shared" si="25"/>
        <v>7.9485049959420406E-2</v>
      </c>
      <c r="X30" s="12">
        <f t="shared" si="25"/>
        <v>8.056167928765734E-2</v>
      </c>
      <c r="Z30" s="15"/>
      <c r="AA30" s="15"/>
      <c r="AB30" s="15"/>
      <c r="AC30" s="15"/>
      <c r="AD30" s="15"/>
      <c r="AF30" s="15"/>
      <c r="AG30" s="15"/>
    </row>
    <row r="31" spans="2:33" x14ac:dyDescent="0.2">
      <c r="B31" s="5" t="s">
        <v>69</v>
      </c>
      <c r="C31" s="16">
        <f>C29</f>
        <v>900.28713000000005</v>
      </c>
      <c r="D31" s="16">
        <f t="shared" ref="D31:X31" si="26">C31*(1+D30)/(1+D40)</f>
        <v>906.9497028301887</v>
      </c>
      <c r="E31" s="16">
        <f t="shared" si="26"/>
        <v>914.04925740922056</v>
      </c>
      <c r="F31" s="16">
        <f t="shared" si="26"/>
        <v>921.63871039253468</v>
      </c>
      <c r="G31" s="16">
        <f t="shared" si="26"/>
        <v>929.7598256575933</v>
      </c>
      <c r="H31" s="16">
        <f t="shared" si="26"/>
        <v>938.46566494413844</v>
      </c>
      <c r="I31" s="16">
        <f t="shared" si="26"/>
        <v>947.80558330000054</v>
      </c>
      <c r="J31" s="16">
        <f t="shared" si="26"/>
        <v>957.81357634658264</v>
      </c>
      <c r="K31" s="16">
        <f t="shared" si="26"/>
        <v>968.48614250735159</v>
      </c>
      <c r="L31" s="16">
        <f t="shared" si="26"/>
        <v>979.81366032929407</v>
      </c>
      <c r="M31" s="16">
        <f t="shared" si="26"/>
        <v>991.75865412455096</v>
      </c>
      <c r="N31" s="16">
        <f t="shared" si="26"/>
        <v>1004.2426258774583</v>
      </c>
      <c r="O31" s="16">
        <f t="shared" si="26"/>
        <v>1017.1322595245975</v>
      </c>
      <c r="P31" s="16">
        <f t="shared" si="26"/>
        <v>1030.2885549352395</v>
      </c>
      <c r="Q31" s="16">
        <f t="shared" si="26"/>
        <v>1044.267847371462</v>
      </c>
      <c r="R31" s="16">
        <f t="shared" si="26"/>
        <v>1059.1422605430889</v>
      </c>
      <c r="S31" s="16">
        <f t="shared" si="26"/>
        <v>1074.9811869788507</v>
      </c>
      <c r="T31" s="16">
        <f t="shared" si="26"/>
        <v>1091.8811007043553</v>
      </c>
      <c r="U31" s="16">
        <f t="shared" si="26"/>
        <v>1109.9532689798086</v>
      </c>
      <c r="V31" s="16">
        <f t="shared" si="26"/>
        <v>1129.3080928620975</v>
      </c>
      <c r="W31" s="16">
        <f t="shared" si="26"/>
        <v>1150.0671726819048</v>
      </c>
      <c r="X31" s="16">
        <f t="shared" si="26"/>
        <v>1172.3759579309124</v>
      </c>
      <c r="Y31" s="3"/>
      <c r="Z31" s="14">
        <f t="shared" ref="Z31" si="27">IFERROR((D31/C31)-1,"")</f>
        <v>7.4004976947616985E-3</v>
      </c>
      <c r="AA31" s="14">
        <f t="shared" ref="AA31" si="28">IFERROR((I31/C31)^(1/6)-1,"")</f>
        <v>8.6094591281185018E-3</v>
      </c>
      <c r="AB31" s="14">
        <f t="shared" ref="AB31" si="29">IFERROR((N31/C31)^(1/11)-1,"")</f>
        <v>9.9836147316789692E-3</v>
      </c>
      <c r="AC31" s="14">
        <f t="shared" ref="AC31" si="30">IFERROR((S31/C31)^(1/16)-1,"")</f>
        <v>1.1145698980229435E-2</v>
      </c>
      <c r="AD31" s="14">
        <f t="shared" ref="AD31" si="31">IFERROR((X31/C31)^(1/21)-1,"")</f>
        <v>1.265434743567484E-2</v>
      </c>
    </row>
    <row r="32" spans="2:33" x14ac:dyDescent="0.2">
      <c r="B32" s="18" t="s">
        <v>68</v>
      </c>
      <c r="C32" s="17"/>
      <c r="D32" s="12">
        <f t="shared" ref="D32" si="32">D31/C31-1</f>
        <v>7.4004976947616985E-3</v>
      </c>
      <c r="E32" s="12">
        <f t="shared" ref="E32" si="33">E31/D31-1</f>
        <v>7.8279474119427039E-3</v>
      </c>
      <c r="F32" s="12">
        <f t="shared" ref="F32" si="34">F31/E31-1</f>
        <v>8.3031115903158259E-3</v>
      </c>
      <c r="G32" s="12">
        <f t="shared" ref="G32" si="35">G31/F31-1</f>
        <v>8.8116039110377464E-3</v>
      </c>
      <c r="H32" s="12">
        <f t="shared" ref="H32" si="36">H31/G31-1</f>
        <v>9.3635356640493494E-3</v>
      </c>
      <c r="I32" s="12">
        <f t="shared" ref="I32" si="37">I31/H31-1</f>
        <v>9.9523282574414118E-3</v>
      </c>
      <c r="J32" s="12">
        <f t="shared" ref="J32" si="38">J31/I31-1</f>
        <v>1.0559120164429725E-2</v>
      </c>
      <c r="K32" s="12">
        <f t="shared" ref="K32" si="39">K31/J31-1</f>
        <v>1.1142634041039212E-2</v>
      </c>
      <c r="L32" s="12">
        <f t="shared" ref="L32" si="40">L31/K31-1</f>
        <v>1.1696107279982604E-2</v>
      </c>
      <c r="M32" s="12">
        <f t="shared" ref="M32" si="41">M31/L31-1</f>
        <v>1.2191087222893415E-2</v>
      </c>
      <c r="N32" s="12">
        <f t="shared" ref="N32" si="42">N31/M31-1</f>
        <v>1.2587711436637061E-2</v>
      </c>
      <c r="O32" s="12">
        <f t="shared" ref="O32" si="43">O31/N31-1</f>
        <v>1.2835178785482126E-2</v>
      </c>
      <c r="P32" s="12">
        <f t="shared" ref="P32" si="44">P31/O31-1</f>
        <v>1.2934694861404861E-2</v>
      </c>
      <c r="Q32" s="12">
        <f t="shared" ref="Q32" si="45">Q31/P31-1</f>
        <v>1.3568327406200398E-2</v>
      </c>
      <c r="R32" s="12">
        <f t="shared" ref="R32" si="46">R31/Q31-1</f>
        <v>1.424386780562803E-2</v>
      </c>
      <c r="S32" s="12">
        <f t="shared" ref="S32" si="47">S31/R31-1</f>
        <v>1.495448442180014E-2</v>
      </c>
      <c r="T32" s="12">
        <f t="shared" ref="T32" si="48">T31/S31-1</f>
        <v>1.5721125104524392E-2</v>
      </c>
      <c r="U32" s="12">
        <f t="shared" ref="U32" si="49">U31/T31-1</f>
        <v>1.6551406800424662E-2</v>
      </c>
      <c r="V32" s="12">
        <f t="shared" ref="V32" si="50">V31/U31-1</f>
        <v>1.7437512391921262E-2</v>
      </c>
      <c r="W32" s="12">
        <f t="shared" ref="W32" si="51">W31/V31-1</f>
        <v>1.8382122603226803E-2</v>
      </c>
      <c r="X32" s="12">
        <f t="shared" ref="X32" si="52">X31/W31-1</f>
        <v>1.9397810648733138E-2</v>
      </c>
      <c r="Z32" s="15"/>
      <c r="AA32" s="15"/>
      <c r="AB32" s="15"/>
      <c r="AC32" s="15"/>
      <c r="AD32" s="15"/>
    </row>
    <row r="33" spans="2:35" x14ac:dyDescent="0.2">
      <c r="B33" s="5" t="s">
        <v>70</v>
      </c>
      <c r="C33" s="16">
        <f>C31</f>
        <v>900.28713000000005</v>
      </c>
      <c r="D33" s="16">
        <f t="shared" ref="D33:X33" si="53">C33*(1+D30)/(1+D42)</f>
        <v>942.51635784313726</v>
      </c>
      <c r="E33" s="16">
        <f t="shared" si="53"/>
        <v>987.14508422241465</v>
      </c>
      <c r="F33" s="16">
        <f t="shared" si="53"/>
        <v>1034.3744584444096</v>
      </c>
      <c r="G33" s="16">
        <f t="shared" si="53"/>
        <v>1084.4100920156775</v>
      </c>
      <c r="H33" s="16">
        <f t="shared" si="53"/>
        <v>1137.4880831979654</v>
      </c>
      <c r="I33" s="16">
        <f t="shared" si="53"/>
        <v>1193.8600610493452</v>
      </c>
      <c r="J33" s="16">
        <f t="shared" si="53"/>
        <v>1253.7785718304779</v>
      </c>
      <c r="K33" s="16">
        <f t="shared" si="53"/>
        <v>1317.4646134140926</v>
      </c>
      <c r="L33" s="16">
        <f t="shared" si="53"/>
        <v>1385.1433824729163</v>
      </c>
      <c r="M33" s="16">
        <f t="shared" si="53"/>
        <v>1457.011346510538</v>
      </c>
      <c r="N33" s="16">
        <f t="shared" si="53"/>
        <v>1533.2087176415075</v>
      </c>
      <c r="O33" s="16">
        <f t="shared" si="53"/>
        <v>1613.7852835164413</v>
      </c>
      <c r="P33" s="16">
        <f t="shared" si="53"/>
        <v>1698.7633823082213</v>
      </c>
      <c r="Q33" s="16">
        <f t="shared" si="53"/>
        <v>1789.3348290872025</v>
      </c>
      <c r="R33" s="16">
        <f t="shared" si="53"/>
        <v>1885.9913632587156</v>
      </c>
      <c r="S33" s="16">
        <f t="shared" si="53"/>
        <v>1989.2618776700303</v>
      </c>
      <c r="T33" s="16">
        <f t="shared" si="53"/>
        <v>2099.7719914366808</v>
      </c>
      <c r="U33" s="16">
        <f t="shared" si="53"/>
        <v>2218.233080555287</v>
      </c>
      <c r="V33" s="16">
        <f t="shared" si="53"/>
        <v>2345.4199610086057</v>
      </c>
      <c r="W33" s="16">
        <f t="shared" si="53"/>
        <v>2482.201748809016</v>
      </c>
      <c r="X33" s="16">
        <f t="shared" si="53"/>
        <v>2629.5804804155196</v>
      </c>
      <c r="Y33" s="3"/>
      <c r="Z33" s="14">
        <f t="shared" ref="Z33" si="54">IFERROR((D33/C33)-1,"")</f>
        <v>4.6906399565144419E-2</v>
      </c>
      <c r="AA33" s="14">
        <f t="shared" ref="AA33" si="55">IFERROR((I33/C33)^(1/6)-1,"")</f>
        <v>4.8162771250789937E-2</v>
      </c>
      <c r="AB33" s="14">
        <f t="shared" ref="AB33" si="56">IFERROR((N33/C33)^(1/11)-1,"")</f>
        <v>4.9590815309392022E-2</v>
      </c>
      <c r="AC33" s="14">
        <f t="shared" ref="AC33" si="57">IFERROR((S33/C33)^(1/16)-1,"")</f>
        <v>5.0798471489258201E-2</v>
      </c>
      <c r="AD33" s="14">
        <f t="shared" ref="AD33" si="58">IFERROR((X33/C33)^(1/21)-1,"")</f>
        <v>5.236628262923082E-2</v>
      </c>
    </row>
    <row r="34" spans="2:35" x14ac:dyDescent="0.2">
      <c r="B34" s="18" t="s">
        <v>68</v>
      </c>
      <c r="C34" s="17"/>
      <c r="D34" s="12">
        <f t="shared" ref="D34" si="59">D33/C33-1</f>
        <v>4.6906399565144419E-2</v>
      </c>
      <c r="E34" s="12">
        <f t="shared" ref="E34" si="60">E33/D33-1</f>
        <v>4.7350612016332727E-2</v>
      </c>
      <c r="F34" s="12">
        <f t="shared" ref="F34" si="61">F33/E33-1</f>
        <v>4.7844410084053601E-2</v>
      </c>
      <c r="G34" s="12">
        <f t="shared" ref="G34" si="62">G33/F33-1</f>
        <v>4.8372843280098277E-2</v>
      </c>
      <c r="H34" s="12">
        <f t="shared" ref="H34" si="63">H33/G33-1</f>
        <v>4.8946419415580644E-2</v>
      </c>
      <c r="I34" s="12">
        <f t="shared" ref="I34" si="64">I33/H33-1</f>
        <v>4.9558301914595981E-2</v>
      </c>
      <c r="J34" s="12">
        <f t="shared" ref="J34" si="65">J33/I33-1</f>
        <v>5.0188889582642782E-2</v>
      </c>
      <c r="K34" s="12">
        <f t="shared" ref="K34" si="66">K33/J33-1</f>
        <v>5.079528635637387E-2</v>
      </c>
      <c r="L34" s="12">
        <f t="shared" ref="L34" si="67">L33/K33-1</f>
        <v>5.1370464428217355E-2</v>
      </c>
      <c r="M34" s="12">
        <f t="shared" ref="M34" si="68">M33/L33-1</f>
        <v>5.1884855349281445E-2</v>
      </c>
      <c r="N34" s="12">
        <f t="shared" ref="N34" si="69">N33/M33-1</f>
        <v>5.2297033453760022E-2</v>
      </c>
      <c r="O34" s="12">
        <f t="shared" ref="O34" si="70">O33/N33-1</f>
        <v>5.2554205404520715E-2</v>
      </c>
      <c r="P34" s="12">
        <f t="shared" ref="P34" si="71">P33/O33-1</f>
        <v>5.2657624071656306E-2</v>
      </c>
      <c r="Q34" s="12">
        <f t="shared" ref="Q34" si="72">Q33/P33-1</f>
        <v>5.3316104951541821E-2</v>
      </c>
      <c r="R34" s="12">
        <f t="shared" ref="R34" si="73">R33/Q33-1</f>
        <v>5.401813713133885E-2</v>
      </c>
      <c r="S34" s="12">
        <f t="shared" ref="S34" si="74">S33/R33-1</f>
        <v>5.4756621065792377E-2</v>
      </c>
      <c r="T34" s="12">
        <f t="shared" ref="T34" si="75">T33/S33-1</f>
        <v>5.5553326089015531E-2</v>
      </c>
      <c r="U34" s="12">
        <f t="shared" ref="U34" si="76">U33/T33-1</f>
        <v>5.6416167851421894E-2</v>
      </c>
      <c r="V34" s="12">
        <f t="shared" ref="V34" si="77">V33/U33-1</f>
        <v>5.7337022681800631E-2</v>
      </c>
      <c r="W34" s="12">
        <f t="shared" ref="W34" si="78">W33/V33-1</f>
        <v>5.8318676430804128E-2</v>
      </c>
      <c r="X34" s="12">
        <f t="shared" ref="X34" si="79">X33/W33-1</f>
        <v>5.9374195380056172E-2</v>
      </c>
      <c r="Z34" s="15"/>
      <c r="AA34" s="15"/>
      <c r="AB34" s="15"/>
      <c r="AC34" s="15"/>
      <c r="AD34" s="15"/>
    </row>
    <row r="35" spans="2:35" ht="4" customHeight="1" x14ac:dyDescent="0.2">
      <c r="B35" s="18"/>
      <c r="C35" s="17"/>
      <c r="D35" s="12"/>
      <c r="E35" s="12"/>
      <c r="F35" s="12"/>
      <c r="G35" s="12"/>
      <c r="H35" s="12"/>
      <c r="I35" s="12"/>
      <c r="J35" s="12"/>
      <c r="K35" s="12"/>
      <c r="L35" s="12"/>
      <c r="M35" s="12"/>
      <c r="N35" s="12"/>
      <c r="O35" s="12"/>
      <c r="P35" s="12"/>
      <c r="Q35" s="12"/>
      <c r="R35" s="12"/>
      <c r="S35" s="12"/>
      <c r="T35" s="12"/>
      <c r="U35" s="12"/>
      <c r="V35" s="12"/>
      <c r="W35" s="12"/>
      <c r="X35" s="12"/>
      <c r="Z35" s="15"/>
      <c r="AA35" s="15"/>
      <c r="AB35" s="15"/>
      <c r="AC35" s="15"/>
      <c r="AD35" s="15"/>
    </row>
    <row r="36" spans="2:35" x14ac:dyDescent="0.2">
      <c r="B36" s="213" t="s">
        <v>71</v>
      </c>
      <c r="C36" s="214"/>
      <c r="D36" s="214"/>
      <c r="E36" s="222"/>
      <c r="F36" s="222"/>
      <c r="G36" s="222"/>
      <c r="H36" s="222"/>
      <c r="I36" s="222"/>
      <c r="J36" s="222"/>
      <c r="K36" s="222"/>
      <c r="L36" s="222"/>
      <c r="M36" s="222"/>
      <c r="N36" s="222"/>
      <c r="O36" s="222"/>
      <c r="P36" s="222"/>
      <c r="Q36" s="222"/>
      <c r="R36" s="222"/>
      <c r="S36" s="222"/>
      <c r="T36" s="214"/>
      <c r="U36" s="214"/>
      <c r="V36" s="214"/>
      <c r="W36" s="214"/>
      <c r="X36" s="214"/>
      <c r="Y36" s="214"/>
      <c r="Z36" s="214"/>
      <c r="AA36" s="223"/>
      <c r="AB36" s="223"/>
      <c r="AC36" s="223"/>
      <c r="AD36" s="223"/>
      <c r="AE36" s="214"/>
      <c r="AF36" s="214"/>
      <c r="AG36" s="214"/>
    </row>
    <row r="37" spans="2:35" x14ac:dyDescent="0.2">
      <c r="B37" s="52" t="s">
        <v>272</v>
      </c>
      <c r="C37" s="138">
        <f t="shared" ref="C37:X37" si="80">C90</f>
        <v>26.97128713</v>
      </c>
      <c r="D37" s="138">
        <f t="shared" si="80"/>
        <v>28.784546684999999</v>
      </c>
      <c r="E37" s="138">
        <f t="shared" si="80"/>
        <v>30.726818945625002</v>
      </c>
      <c r="F37" s="138">
        <f t="shared" si="80"/>
        <v>32.807863238296882</v>
      </c>
      <c r="G37" s="138">
        <f t="shared" si="80"/>
        <v>35.03820666414633</v>
      </c>
      <c r="H37" s="138">
        <f t="shared" si="80"/>
        <v>37.429235635370446</v>
      </c>
      <c r="I37" s="138">
        <f t="shared" si="80"/>
        <v>39.993250069789966</v>
      </c>
      <c r="J37" s="138">
        <f t="shared" si="80"/>
        <v>42.743521966699163</v>
      </c>
      <c r="K37" s="138">
        <f t="shared" si="80"/>
        <v>45.694337487446973</v>
      </c>
      <c r="L37" s="138">
        <f t="shared" si="80"/>
        <v>48.861122897533789</v>
      </c>
      <c r="M37" s="138">
        <f t="shared" si="80"/>
        <v>52.260499216253308</v>
      </c>
      <c r="N37" s="138">
        <f t="shared" si="80"/>
        <v>55.910346982659206</v>
      </c>
      <c r="O37" s="138">
        <f t="shared" si="80"/>
        <v>59.829867204066296</v>
      </c>
      <c r="P37" s="138">
        <f t="shared" si="80"/>
        <v>64.03977207517049</v>
      </c>
      <c r="Q37" s="138">
        <f t="shared" si="80"/>
        <v>68.563991602596673</v>
      </c>
      <c r="R37" s="138">
        <f t="shared" si="80"/>
        <v>73.427453993581707</v>
      </c>
      <c r="S37" s="138">
        <f t="shared" si="80"/>
        <v>78.657164495472145</v>
      </c>
      <c r="T37" s="138">
        <f t="shared" si="80"/>
        <v>84.282465121348224</v>
      </c>
      <c r="U37" s="138">
        <f t="shared" si="80"/>
        <v>90.335219027727646</v>
      </c>
      <c r="V37" s="138">
        <f t="shared" si="80"/>
        <v>96.849993765654773</v>
      </c>
      <c r="W37" s="138">
        <f t="shared" si="80"/>
        <v>103.86433838210503</v>
      </c>
      <c r="X37" s="138">
        <f t="shared" si="80"/>
        <v>111.41909800585472</v>
      </c>
      <c r="Z37" s="136"/>
      <c r="AA37" s="136"/>
      <c r="AB37" s="136"/>
      <c r="AC37" s="136"/>
      <c r="AD37" s="137"/>
      <c r="AF37" s="137"/>
      <c r="AG37" s="137"/>
    </row>
    <row r="38" spans="2:35" x14ac:dyDescent="0.2">
      <c r="B38" s="18" t="s">
        <v>268</v>
      </c>
      <c r="C38" s="12">
        <f t="shared" ref="C38:X38" si="81">C37/C29</f>
        <v>2.9958539038539848E-2</v>
      </c>
      <c r="D38" s="12">
        <f t="shared" si="81"/>
        <v>2.9941277489764481E-2</v>
      </c>
      <c r="E38" s="12">
        <f t="shared" si="81"/>
        <v>2.9918255775492841E-2</v>
      </c>
      <c r="F38" s="12">
        <f t="shared" si="81"/>
        <v>2.9888191868838156E-2</v>
      </c>
      <c r="G38" s="12">
        <f t="shared" si="81"/>
        <v>2.9850226589716526E-2</v>
      </c>
      <c r="H38" s="12">
        <f t="shared" si="81"/>
        <v>2.9803223791170758E-2</v>
      </c>
      <c r="I38" s="12">
        <f t="shared" si="81"/>
        <v>2.9746251425292955E-2</v>
      </c>
      <c r="J38" s="12">
        <f t="shared" si="81"/>
        <v>2.967893131527264E-2</v>
      </c>
      <c r="K38" s="12">
        <f t="shared" si="81"/>
        <v>2.9602067992083023E-2</v>
      </c>
      <c r="L38" s="12">
        <f t="shared" si="81"/>
        <v>2.9516656830118407E-2</v>
      </c>
      <c r="M38" s="12">
        <f t="shared" si="81"/>
        <v>2.9424487177368872E-2</v>
      </c>
      <c r="N38" s="12">
        <f t="shared" si="81"/>
        <v>2.9328443716524599E-2</v>
      </c>
      <c r="O38" s="12">
        <f t="shared" si="81"/>
        <v>2.923278732816775E-2</v>
      </c>
      <c r="P38" s="12">
        <f t="shared" si="81"/>
        <v>2.9141684609162458E-2</v>
      </c>
      <c r="Q38" s="12">
        <f t="shared" si="81"/>
        <v>2.904036515524442E-2</v>
      </c>
      <c r="R38" s="12">
        <f t="shared" si="81"/>
        <v>2.8927852462970912E-2</v>
      </c>
      <c r="S38" s="12">
        <f t="shared" si="81"/>
        <v>2.8803388250957483E-2</v>
      </c>
      <c r="T38" s="12">
        <f t="shared" si="81"/>
        <v>2.866567489584437E-2</v>
      </c>
      <c r="U38" s="12">
        <f t="shared" si="81"/>
        <v>2.8513257261497248E-2</v>
      </c>
      <c r="V38" s="12">
        <f t="shared" si="81"/>
        <v>2.8344951398687025E-2</v>
      </c>
      <c r="W38" s="12">
        <f t="shared" si="81"/>
        <v>2.8159565312098098E-2</v>
      </c>
      <c r="X38" s="12">
        <f t="shared" si="81"/>
        <v>2.7955648035257564E-2</v>
      </c>
    </row>
    <row r="39" spans="2:35" ht="16" hidden="1" outlineLevel="1" x14ac:dyDescent="0.2">
      <c r="B39" s="315" t="s">
        <v>73</v>
      </c>
      <c r="C39" s="315"/>
      <c r="D39" s="315"/>
      <c r="E39" s="315"/>
      <c r="F39" s="315"/>
      <c r="G39" s="315"/>
      <c r="H39" s="315"/>
      <c r="I39" s="315"/>
      <c r="J39" s="315"/>
      <c r="K39" s="315"/>
      <c r="L39" s="315"/>
      <c r="M39" s="315"/>
      <c r="N39" s="315"/>
      <c r="O39" s="315"/>
      <c r="P39" s="315"/>
      <c r="Q39" s="315"/>
      <c r="R39" s="315"/>
      <c r="S39" s="315"/>
      <c r="T39" s="315"/>
      <c r="U39" s="315"/>
      <c r="V39" s="315"/>
      <c r="W39" s="315"/>
      <c r="X39" s="315"/>
      <c r="Y39" s="315"/>
      <c r="Z39" s="315"/>
      <c r="AA39" s="315"/>
      <c r="AB39" s="315"/>
      <c r="AC39" s="315"/>
      <c r="AD39" s="315"/>
      <c r="AE39" s="315"/>
      <c r="AF39" s="315"/>
      <c r="AG39" s="315"/>
    </row>
    <row r="40" spans="2:35" hidden="1" outlineLevel="1" x14ac:dyDescent="0.2">
      <c r="B40" s="158" t="s">
        <v>74</v>
      </c>
      <c r="C40" s="153">
        <f>C7</f>
        <v>0.06</v>
      </c>
      <c r="D40" s="154">
        <f t="shared" ref="D40:X41" si="82">C40</f>
        <v>0.06</v>
      </c>
      <c r="E40" s="154">
        <f t="shared" si="82"/>
        <v>0.06</v>
      </c>
      <c r="F40" s="154">
        <f t="shared" si="82"/>
        <v>0.06</v>
      </c>
      <c r="G40" s="154">
        <f t="shared" si="82"/>
        <v>0.06</v>
      </c>
      <c r="H40" s="154">
        <f t="shared" si="82"/>
        <v>0.06</v>
      </c>
      <c r="I40" s="154">
        <f t="shared" si="82"/>
        <v>0.06</v>
      </c>
      <c r="J40" s="154">
        <f t="shared" si="82"/>
        <v>0.06</v>
      </c>
      <c r="K40" s="154">
        <f t="shared" si="82"/>
        <v>0.06</v>
      </c>
      <c r="L40" s="154">
        <f t="shared" si="82"/>
        <v>0.06</v>
      </c>
      <c r="M40" s="154">
        <f t="shared" si="82"/>
        <v>0.06</v>
      </c>
      <c r="N40" s="154">
        <f t="shared" si="82"/>
        <v>0.06</v>
      </c>
      <c r="O40" s="154">
        <f t="shared" si="82"/>
        <v>0.06</v>
      </c>
      <c r="P40" s="154">
        <f t="shared" si="82"/>
        <v>0.06</v>
      </c>
      <c r="Q40" s="154">
        <f t="shared" si="82"/>
        <v>0.06</v>
      </c>
      <c r="R40" s="154">
        <f t="shared" si="82"/>
        <v>0.06</v>
      </c>
      <c r="S40" s="154">
        <f t="shared" si="82"/>
        <v>0.06</v>
      </c>
      <c r="T40" s="154">
        <f t="shared" si="82"/>
        <v>0.06</v>
      </c>
      <c r="U40" s="154">
        <f t="shared" si="82"/>
        <v>0.06</v>
      </c>
      <c r="V40" s="154">
        <f t="shared" si="82"/>
        <v>0.06</v>
      </c>
      <c r="W40" s="154">
        <f t="shared" si="82"/>
        <v>0.06</v>
      </c>
      <c r="X40" s="154">
        <f t="shared" si="82"/>
        <v>0.06</v>
      </c>
      <c r="Y40" s="149"/>
      <c r="Z40" s="148"/>
      <c r="AA40" s="150"/>
      <c r="AB40" s="150"/>
      <c r="AC40" s="150"/>
      <c r="AD40" s="150"/>
      <c r="AE40" s="151"/>
      <c r="AF40" s="149"/>
      <c r="AG40" s="149"/>
    </row>
    <row r="41" spans="2:35" hidden="1" outlineLevel="1" x14ac:dyDescent="0.2">
      <c r="B41" s="158" t="s">
        <v>75</v>
      </c>
      <c r="C41" s="153">
        <f>C8</f>
        <v>0.03</v>
      </c>
      <c r="D41" s="154">
        <f t="shared" si="82"/>
        <v>0.03</v>
      </c>
      <c r="E41" s="154">
        <f t="shared" si="82"/>
        <v>0.03</v>
      </c>
      <c r="F41" s="154">
        <f t="shared" si="82"/>
        <v>0.03</v>
      </c>
      <c r="G41" s="154">
        <f t="shared" si="82"/>
        <v>0.03</v>
      </c>
      <c r="H41" s="154">
        <f t="shared" si="82"/>
        <v>0.03</v>
      </c>
      <c r="I41" s="154">
        <f t="shared" si="82"/>
        <v>0.03</v>
      </c>
      <c r="J41" s="154">
        <f t="shared" si="82"/>
        <v>0.03</v>
      </c>
      <c r="K41" s="154">
        <f t="shared" si="82"/>
        <v>0.03</v>
      </c>
      <c r="L41" s="154">
        <f t="shared" si="82"/>
        <v>0.03</v>
      </c>
      <c r="M41" s="154">
        <f t="shared" si="82"/>
        <v>0.03</v>
      </c>
      <c r="N41" s="154">
        <f t="shared" si="82"/>
        <v>0.03</v>
      </c>
      <c r="O41" s="154">
        <f t="shared" si="82"/>
        <v>0.03</v>
      </c>
      <c r="P41" s="154">
        <f t="shared" si="82"/>
        <v>0.03</v>
      </c>
      <c r="Q41" s="154">
        <f t="shared" si="82"/>
        <v>0.03</v>
      </c>
      <c r="R41" s="154">
        <f t="shared" si="82"/>
        <v>0.03</v>
      </c>
      <c r="S41" s="154">
        <f t="shared" si="82"/>
        <v>0.03</v>
      </c>
      <c r="T41" s="154">
        <f t="shared" si="82"/>
        <v>0.03</v>
      </c>
      <c r="U41" s="154">
        <f t="shared" si="82"/>
        <v>0.03</v>
      </c>
      <c r="V41" s="154">
        <f t="shared" si="82"/>
        <v>0.03</v>
      </c>
      <c r="W41" s="154">
        <f t="shared" si="82"/>
        <v>0.03</v>
      </c>
      <c r="X41" s="154">
        <f t="shared" si="82"/>
        <v>0.03</v>
      </c>
      <c r="Y41" s="149"/>
      <c r="Z41" s="149"/>
      <c r="AA41" s="149"/>
      <c r="AB41" s="149"/>
      <c r="AC41" s="149"/>
      <c r="AD41" s="149"/>
      <c r="AE41" s="149"/>
      <c r="AF41" s="149"/>
      <c r="AG41" s="149"/>
    </row>
    <row r="42" spans="2:35" hidden="1" outlineLevel="1" x14ac:dyDescent="0.2">
      <c r="B42" s="158" t="s">
        <v>76</v>
      </c>
      <c r="C42" s="159">
        <v>0.02</v>
      </c>
      <c r="D42" s="154">
        <f t="shared" ref="D42:X42" si="83">C42</f>
        <v>0.02</v>
      </c>
      <c r="E42" s="154">
        <f t="shared" si="83"/>
        <v>0.02</v>
      </c>
      <c r="F42" s="154">
        <f t="shared" si="83"/>
        <v>0.02</v>
      </c>
      <c r="G42" s="154">
        <f t="shared" si="83"/>
        <v>0.02</v>
      </c>
      <c r="H42" s="154">
        <f t="shared" si="83"/>
        <v>0.02</v>
      </c>
      <c r="I42" s="154">
        <f t="shared" si="83"/>
        <v>0.02</v>
      </c>
      <c r="J42" s="154">
        <f t="shared" si="83"/>
        <v>0.02</v>
      </c>
      <c r="K42" s="154">
        <f t="shared" si="83"/>
        <v>0.02</v>
      </c>
      <c r="L42" s="154">
        <f t="shared" si="83"/>
        <v>0.02</v>
      </c>
      <c r="M42" s="154">
        <f t="shared" si="83"/>
        <v>0.02</v>
      </c>
      <c r="N42" s="154">
        <f t="shared" si="83"/>
        <v>0.02</v>
      </c>
      <c r="O42" s="154">
        <f t="shared" si="83"/>
        <v>0.02</v>
      </c>
      <c r="P42" s="154">
        <f t="shared" si="83"/>
        <v>0.02</v>
      </c>
      <c r="Q42" s="154">
        <f t="shared" si="83"/>
        <v>0.02</v>
      </c>
      <c r="R42" s="154">
        <f t="shared" si="83"/>
        <v>0.02</v>
      </c>
      <c r="S42" s="154">
        <f t="shared" si="83"/>
        <v>0.02</v>
      </c>
      <c r="T42" s="154">
        <f t="shared" si="83"/>
        <v>0.02</v>
      </c>
      <c r="U42" s="154">
        <f t="shared" si="83"/>
        <v>0.02</v>
      </c>
      <c r="V42" s="154">
        <f t="shared" si="83"/>
        <v>0.02</v>
      </c>
      <c r="W42" s="154">
        <f t="shared" si="83"/>
        <v>0.02</v>
      </c>
      <c r="X42" s="154">
        <f t="shared" si="83"/>
        <v>0.02</v>
      </c>
      <c r="Y42" s="149"/>
      <c r="Z42" s="149"/>
      <c r="AA42" s="149"/>
      <c r="AB42" s="149"/>
      <c r="AC42" s="149"/>
      <c r="AD42" s="149"/>
      <c r="AE42" s="149"/>
      <c r="AF42" s="149"/>
      <c r="AG42" s="149"/>
    </row>
    <row r="43" spans="2:35" hidden="1" outlineLevel="1" x14ac:dyDescent="0.2">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c r="AD43" s="149"/>
      <c r="AE43" s="149"/>
      <c r="AF43" s="149"/>
      <c r="AG43" s="149"/>
      <c r="AI43" s="71"/>
    </row>
    <row r="44" spans="2:35" hidden="1" outlineLevel="1" x14ac:dyDescent="0.2">
      <c r="B44" s="160" t="s">
        <v>77</v>
      </c>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c r="AD44" s="149"/>
      <c r="AE44" s="149"/>
      <c r="AF44" s="149"/>
      <c r="AG44" s="149"/>
      <c r="AI44" s="72"/>
    </row>
    <row r="45" spans="2:35" hidden="1" outlineLevel="1" x14ac:dyDescent="0.2">
      <c r="B45" s="149" t="s">
        <v>42</v>
      </c>
      <c r="C45" s="149"/>
      <c r="D45" s="161">
        <f t="shared" ref="D45:D50" si="84">N5</f>
        <v>-0.04</v>
      </c>
      <c r="E45" s="154">
        <f t="shared" ref="E45:X45" si="85">D45</f>
        <v>-0.04</v>
      </c>
      <c r="F45" s="154">
        <f t="shared" si="85"/>
        <v>-0.04</v>
      </c>
      <c r="G45" s="154">
        <f t="shared" si="85"/>
        <v>-0.04</v>
      </c>
      <c r="H45" s="154">
        <f t="shared" si="85"/>
        <v>-0.04</v>
      </c>
      <c r="I45" s="154">
        <f t="shared" si="85"/>
        <v>-0.04</v>
      </c>
      <c r="J45" s="154">
        <f t="shared" si="85"/>
        <v>-0.04</v>
      </c>
      <c r="K45" s="154">
        <f t="shared" si="85"/>
        <v>-0.04</v>
      </c>
      <c r="L45" s="154">
        <f t="shared" si="85"/>
        <v>-0.04</v>
      </c>
      <c r="M45" s="154">
        <f t="shared" si="85"/>
        <v>-0.04</v>
      </c>
      <c r="N45" s="154">
        <f t="shared" si="85"/>
        <v>-0.04</v>
      </c>
      <c r="O45" s="154">
        <f t="shared" si="85"/>
        <v>-0.04</v>
      </c>
      <c r="P45" s="154">
        <f t="shared" si="85"/>
        <v>-0.04</v>
      </c>
      <c r="Q45" s="154">
        <f t="shared" si="85"/>
        <v>-0.04</v>
      </c>
      <c r="R45" s="154">
        <f t="shared" si="85"/>
        <v>-0.04</v>
      </c>
      <c r="S45" s="154">
        <f t="shared" si="85"/>
        <v>-0.04</v>
      </c>
      <c r="T45" s="154">
        <f t="shared" si="85"/>
        <v>-0.04</v>
      </c>
      <c r="U45" s="154">
        <f t="shared" si="85"/>
        <v>-0.04</v>
      </c>
      <c r="V45" s="154">
        <f t="shared" si="85"/>
        <v>-0.04</v>
      </c>
      <c r="W45" s="154">
        <f t="shared" si="85"/>
        <v>-0.04</v>
      </c>
      <c r="X45" s="154">
        <f t="shared" si="85"/>
        <v>-0.04</v>
      </c>
      <c r="Y45" s="149"/>
      <c r="Z45" s="149"/>
      <c r="AA45" s="149"/>
      <c r="AB45" s="149"/>
      <c r="AC45" s="149"/>
      <c r="AD45" s="149"/>
      <c r="AE45" s="149"/>
      <c r="AF45" s="149"/>
      <c r="AG45" s="149"/>
    </row>
    <row r="46" spans="2:35" hidden="1" outlineLevel="1" x14ac:dyDescent="0.2">
      <c r="B46" s="149" t="s">
        <v>44</v>
      </c>
      <c r="C46" s="149"/>
      <c r="D46" s="161">
        <f t="shared" si="84"/>
        <v>0</v>
      </c>
      <c r="E46" s="154">
        <f t="shared" ref="E46:X47" si="86">D46</f>
        <v>0</v>
      </c>
      <c r="F46" s="154">
        <f t="shared" si="86"/>
        <v>0</v>
      </c>
      <c r="G46" s="154">
        <f t="shared" si="86"/>
        <v>0</v>
      </c>
      <c r="H46" s="154">
        <f t="shared" si="86"/>
        <v>0</v>
      </c>
      <c r="I46" s="154">
        <f t="shared" si="86"/>
        <v>0</v>
      </c>
      <c r="J46" s="154">
        <f>I46</f>
        <v>0</v>
      </c>
      <c r="K46" s="154">
        <f>J46</f>
        <v>0</v>
      </c>
      <c r="L46" s="154">
        <f>K46</f>
        <v>0</v>
      </c>
      <c r="M46" s="154">
        <f t="shared" si="86"/>
        <v>0</v>
      </c>
      <c r="N46" s="154">
        <f t="shared" si="86"/>
        <v>0</v>
      </c>
      <c r="O46" s="154">
        <f t="shared" si="86"/>
        <v>0</v>
      </c>
      <c r="P46" s="154">
        <f t="shared" si="86"/>
        <v>0</v>
      </c>
      <c r="Q46" s="154">
        <f t="shared" si="86"/>
        <v>0</v>
      </c>
      <c r="R46" s="154">
        <f t="shared" si="86"/>
        <v>0</v>
      </c>
      <c r="S46" s="154">
        <f t="shared" si="86"/>
        <v>0</v>
      </c>
      <c r="T46" s="154">
        <f t="shared" si="86"/>
        <v>0</v>
      </c>
      <c r="U46" s="154">
        <f t="shared" si="86"/>
        <v>0</v>
      </c>
      <c r="V46" s="154">
        <f t="shared" si="86"/>
        <v>0</v>
      </c>
      <c r="W46" s="154">
        <f t="shared" si="86"/>
        <v>0</v>
      </c>
      <c r="X46" s="154">
        <f t="shared" si="86"/>
        <v>0</v>
      </c>
      <c r="Y46" s="149"/>
      <c r="Z46" s="149"/>
      <c r="AA46" s="149"/>
      <c r="AB46" s="149"/>
      <c r="AC46" s="149"/>
      <c r="AD46" s="149"/>
      <c r="AE46" s="149"/>
      <c r="AF46" s="156"/>
      <c r="AG46" s="149"/>
    </row>
    <row r="47" spans="2:35" hidden="1" outlineLevel="1" x14ac:dyDescent="0.2">
      <c r="B47" s="149" t="s">
        <v>46</v>
      </c>
      <c r="C47" s="149"/>
      <c r="D47" s="161">
        <f t="shared" si="84"/>
        <v>0.01</v>
      </c>
      <c r="E47" s="154">
        <f>D47</f>
        <v>0.01</v>
      </c>
      <c r="F47" s="154">
        <f>E47</f>
        <v>0.01</v>
      </c>
      <c r="G47" s="154">
        <f t="shared" si="86"/>
        <v>0.01</v>
      </c>
      <c r="H47" s="154">
        <f t="shared" si="86"/>
        <v>0.01</v>
      </c>
      <c r="I47" s="154">
        <f t="shared" si="86"/>
        <v>0.01</v>
      </c>
      <c r="J47" s="154">
        <f t="shared" ref="J47:L47" si="87">I47</f>
        <v>0.01</v>
      </c>
      <c r="K47" s="154">
        <f t="shared" si="87"/>
        <v>0.01</v>
      </c>
      <c r="L47" s="154">
        <f t="shared" si="87"/>
        <v>0.01</v>
      </c>
      <c r="M47" s="154">
        <f t="shared" si="86"/>
        <v>0.01</v>
      </c>
      <c r="N47" s="154">
        <f t="shared" si="86"/>
        <v>0.01</v>
      </c>
      <c r="O47" s="154">
        <f t="shared" si="86"/>
        <v>0.01</v>
      </c>
      <c r="P47" s="154">
        <f t="shared" si="86"/>
        <v>0.01</v>
      </c>
      <c r="Q47" s="154">
        <f t="shared" si="86"/>
        <v>0.01</v>
      </c>
      <c r="R47" s="154">
        <f t="shared" si="86"/>
        <v>0.01</v>
      </c>
      <c r="S47" s="154">
        <f t="shared" si="86"/>
        <v>0.01</v>
      </c>
      <c r="T47" s="154">
        <f t="shared" si="86"/>
        <v>0.01</v>
      </c>
      <c r="U47" s="154">
        <f t="shared" si="86"/>
        <v>0.01</v>
      </c>
      <c r="V47" s="154">
        <f t="shared" si="86"/>
        <v>0.01</v>
      </c>
      <c r="W47" s="154">
        <f t="shared" si="86"/>
        <v>0.01</v>
      </c>
      <c r="X47" s="154">
        <f t="shared" si="86"/>
        <v>0.01</v>
      </c>
      <c r="Y47" s="149"/>
      <c r="Z47" s="149"/>
      <c r="AA47" s="149"/>
      <c r="AB47" s="149"/>
      <c r="AC47" s="149"/>
      <c r="AD47" s="149"/>
      <c r="AE47" s="149"/>
      <c r="AF47" s="149"/>
      <c r="AG47" s="157"/>
    </row>
    <row r="48" spans="2:35" hidden="1" outlineLevel="1" x14ac:dyDescent="0.2">
      <c r="B48" s="149" t="s">
        <v>49</v>
      </c>
      <c r="C48" s="149"/>
      <c r="D48" s="161">
        <f t="shared" si="84"/>
        <v>-0.02</v>
      </c>
      <c r="E48" s="154">
        <f t="shared" ref="E48:X48" si="88">D48</f>
        <v>-0.02</v>
      </c>
      <c r="F48" s="154">
        <f t="shared" si="88"/>
        <v>-0.02</v>
      </c>
      <c r="G48" s="154">
        <f t="shared" si="88"/>
        <v>-0.02</v>
      </c>
      <c r="H48" s="154">
        <f t="shared" si="88"/>
        <v>-0.02</v>
      </c>
      <c r="I48" s="154">
        <f t="shared" si="88"/>
        <v>-0.02</v>
      </c>
      <c r="J48" s="154">
        <f t="shared" si="88"/>
        <v>-0.02</v>
      </c>
      <c r="K48" s="154">
        <f t="shared" si="88"/>
        <v>-0.02</v>
      </c>
      <c r="L48" s="154">
        <f t="shared" si="88"/>
        <v>-0.02</v>
      </c>
      <c r="M48" s="154">
        <f t="shared" si="88"/>
        <v>-0.02</v>
      </c>
      <c r="N48" s="154">
        <f t="shared" si="88"/>
        <v>-0.02</v>
      </c>
      <c r="O48" s="154">
        <f t="shared" si="88"/>
        <v>-0.02</v>
      </c>
      <c r="P48" s="154">
        <f t="shared" si="88"/>
        <v>-0.02</v>
      </c>
      <c r="Q48" s="154">
        <f t="shared" si="88"/>
        <v>-0.02</v>
      </c>
      <c r="R48" s="154">
        <f t="shared" si="88"/>
        <v>-0.02</v>
      </c>
      <c r="S48" s="154">
        <f t="shared" si="88"/>
        <v>-0.02</v>
      </c>
      <c r="T48" s="154">
        <f t="shared" si="88"/>
        <v>-0.02</v>
      </c>
      <c r="U48" s="154">
        <f t="shared" si="88"/>
        <v>-0.02</v>
      </c>
      <c r="V48" s="154">
        <f t="shared" si="88"/>
        <v>-0.02</v>
      </c>
      <c r="W48" s="154">
        <f t="shared" si="88"/>
        <v>-0.02</v>
      </c>
      <c r="X48" s="154">
        <f t="shared" si="88"/>
        <v>-0.02</v>
      </c>
      <c r="Y48" s="149"/>
      <c r="Z48" s="149"/>
      <c r="AA48" s="149"/>
      <c r="AB48" s="149"/>
      <c r="AC48" s="149"/>
      <c r="AD48" s="149"/>
      <c r="AE48" s="149"/>
      <c r="AF48" s="149"/>
      <c r="AG48" s="149"/>
    </row>
    <row r="49" spans="2:38" hidden="1" outlineLevel="1" x14ac:dyDescent="0.2">
      <c r="B49" s="149" t="s">
        <v>51</v>
      </c>
      <c r="C49" s="149"/>
      <c r="D49" s="161">
        <f t="shared" si="84"/>
        <v>-0.04</v>
      </c>
      <c r="E49" s="154">
        <f t="shared" ref="E49:X49" si="89">D49</f>
        <v>-0.04</v>
      </c>
      <c r="F49" s="154">
        <f t="shared" si="89"/>
        <v>-0.04</v>
      </c>
      <c r="G49" s="154">
        <f t="shared" si="89"/>
        <v>-0.04</v>
      </c>
      <c r="H49" s="154">
        <f t="shared" si="89"/>
        <v>-0.04</v>
      </c>
      <c r="I49" s="154">
        <f t="shared" si="89"/>
        <v>-0.04</v>
      </c>
      <c r="J49" s="154">
        <f t="shared" si="89"/>
        <v>-0.04</v>
      </c>
      <c r="K49" s="154">
        <f t="shared" si="89"/>
        <v>-0.04</v>
      </c>
      <c r="L49" s="154">
        <f t="shared" si="89"/>
        <v>-0.04</v>
      </c>
      <c r="M49" s="154">
        <f t="shared" si="89"/>
        <v>-0.04</v>
      </c>
      <c r="N49" s="154">
        <f t="shared" si="89"/>
        <v>-0.04</v>
      </c>
      <c r="O49" s="154">
        <f t="shared" si="89"/>
        <v>-0.04</v>
      </c>
      <c r="P49" s="154">
        <f t="shared" si="89"/>
        <v>-0.04</v>
      </c>
      <c r="Q49" s="154">
        <f t="shared" si="89"/>
        <v>-0.04</v>
      </c>
      <c r="R49" s="154">
        <f t="shared" si="89"/>
        <v>-0.04</v>
      </c>
      <c r="S49" s="154">
        <f t="shared" si="89"/>
        <v>-0.04</v>
      </c>
      <c r="T49" s="154">
        <f t="shared" si="89"/>
        <v>-0.04</v>
      </c>
      <c r="U49" s="154">
        <f t="shared" si="89"/>
        <v>-0.04</v>
      </c>
      <c r="V49" s="154">
        <f t="shared" si="89"/>
        <v>-0.04</v>
      </c>
      <c r="W49" s="154">
        <f t="shared" si="89"/>
        <v>-0.04</v>
      </c>
      <c r="X49" s="154">
        <f t="shared" si="89"/>
        <v>-0.04</v>
      </c>
      <c r="Y49" s="149"/>
      <c r="Z49" s="149"/>
      <c r="AA49" s="149"/>
      <c r="AB49" s="149"/>
      <c r="AC49" s="149"/>
      <c r="AD49" s="149"/>
      <c r="AE49" s="149"/>
      <c r="AF49" s="149"/>
      <c r="AG49" s="149"/>
    </row>
    <row r="50" spans="2:38" hidden="1" outlineLevel="1" x14ac:dyDescent="0.2">
      <c r="B50" s="149" t="s">
        <v>53</v>
      </c>
      <c r="C50" s="149"/>
      <c r="D50" s="161">
        <f t="shared" si="84"/>
        <v>-0.02</v>
      </c>
      <c r="E50" s="154">
        <f t="shared" ref="E50:X50" si="90">D50</f>
        <v>-0.02</v>
      </c>
      <c r="F50" s="154">
        <f t="shared" si="90"/>
        <v>-0.02</v>
      </c>
      <c r="G50" s="154">
        <f t="shared" si="90"/>
        <v>-0.02</v>
      </c>
      <c r="H50" s="154">
        <f t="shared" si="90"/>
        <v>-0.02</v>
      </c>
      <c r="I50" s="154">
        <f t="shared" si="90"/>
        <v>-0.02</v>
      </c>
      <c r="J50" s="154">
        <f t="shared" si="90"/>
        <v>-0.02</v>
      </c>
      <c r="K50" s="154">
        <f t="shared" si="90"/>
        <v>-0.02</v>
      </c>
      <c r="L50" s="154">
        <f t="shared" si="90"/>
        <v>-0.02</v>
      </c>
      <c r="M50" s="154">
        <f t="shared" si="90"/>
        <v>-0.02</v>
      </c>
      <c r="N50" s="154">
        <f t="shared" si="90"/>
        <v>-0.02</v>
      </c>
      <c r="O50" s="154">
        <f t="shared" si="90"/>
        <v>-0.02</v>
      </c>
      <c r="P50" s="154">
        <f t="shared" si="90"/>
        <v>-0.02</v>
      </c>
      <c r="Q50" s="154">
        <f t="shared" si="90"/>
        <v>-0.02</v>
      </c>
      <c r="R50" s="154">
        <f t="shared" si="90"/>
        <v>-0.02</v>
      </c>
      <c r="S50" s="154">
        <f t="shared" si="90"/>
        <v>-0.02</v>
      </c>
      <c r="T50" s="154">
        <f t="shared" si="90"/>
        <v>-0.02</v>
      </c>
      <c r="U50" s="154">
        <f t="shared" si="90"/>
        <v>-0.02</v>
      </c>
      <c r="V50" s="154">
        <f t="shared" si="90"/>
        <v>-0.02</v>
      </c>
      <c r="W50" s="154">
        <f t="shared" si="90"/>
        <v>-0.02</v>
      </c>
      <c r="X50" s="154">
        <f t="shared" si="90"/>
        <v>-0.02</v>
      </c>
      <c r="Y50" s="149"/>
      <c r="Z50" s="149"/>
      <c r="AA50" s="149"/>
      <c r="AB50" s="149"/>
      <c r="AC50" s="149"/>
      <c r="AD50" s="149"/>
      <c r="AE50" s="149"/>
      <c r="AF50" s="149"/>
      <c r="AG50" s="149"/>
    </row>
    <row r="51" spans="2:38" hidden="1" outlineLevel="1" x14ac:dyDescent="0.2">
      <c r="B51" s="149"/>
      <c r="C51" s="149"/>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J51" s="43"/>
      <c r="AK51" s="43"/>
      <c r="AL51" s="43"/>
    </row>
    <row r="52" spans="2:38" hidden="1" outlineLevel="1" x14ac:dyDescent="0.2">
      <c r="B52" s="158" t="s">
        <v>78</v>
      </c>
      <c r="C52" s="152"/>
      <c r="D52" s="153">
        <f>BTC!D7</f>
        <v>0.5</v>
      </c>
      <c r="E52" s="154">
        <f>MAX(D52-BTC!$D$8,BTC!$D$9)</f>
        <v>0.47499999999999998</v>
      </c>
      <c r="F52" s="154">
        <f>MAX(E52-BTC!$D$8,BTC!$D$9)</f>
        <v>0.44999999999999996</v>
      </c>
      <c r="G52" s="154">
        <f>MAX(F52-BTC!$D$8,BTC!$D$9)</f>
        <v>0.42499999999999993</v>
      </c>
      <c r="H52" s="154">
        <f>MAX(G52-BTC!$D$8,BTC!$D$9)</f>
        <v>0.39999999999999991</v>
      </c>
      <c r="I52" s="154">
        <f>MAX(H52-BTC!$D$8,BTC!$D$9)</f>
        <v>0.37499999999999989</v>
      </c>
      <c r="J52" s="154">
        <f>MAX(I52-BTC!$D$8,BTC!$D$9)</f>
        <v>0.34999999999999987</v>
      </c>
      <c r="K52" s="154">
        <f>MAX(J52-BTC!$D$8,BTC!$D$9)</f>
        <v>0.32499999999999984</v>
      </c>
      <c r="L52" s="154">
        <f>MAX(K52-BTC!$D$8,BTC!$D$9)</f>
        <v>0.29999999999999982</v>
      </c>
      <c r="M52" s="154">
        <f>MAX(L52-BTC!$D$8,BTC!$D$9)</f>
        <v>0.2749999999999998</v>
      </c>
      <c r="N52" s="154">
        <f>MAX(M52-BTC!$D$8,BTC!$D$9)</f>
        <v>0.24999999999999981</v>
      </c>
      <c r="O52" s="154">
        <f>MAX(N52-BTC!$D$8,BTC!$D$9)</f>
        <v>0.22499999999999981</v>
      </c>
      <c r="P52" s="154">
        <f>MAX(O52-BTC!$D$8,BTC!$D$9)</f>
        <v>0.2</v>
      </c>
      <c r="Q52" s="154">
        <f>MAX(P52-BTC!$D$8,BTC!$D$9)</f>
        <v>0.2</v>
      </c>
      <c r="R52" s="154">
        <f>MAX(Q52-BTC!$D$8,BTC!$D$9)</f>
        <v>0.2</v>
      </c>
      <c r="S52" s="154">
        <f>MAX(R52-BTC!$D$8,BTC!$D$9)</f>
        <v>0.2</v>
      </c>
      <c r="T52" s="154">
        <f>MAX(S52-BTC!$D$8,BTC!$D$9)</f>
        <v>0.2</v>
      </c>
      <c r="U52" s="154">
        <f>MAX(T52-BTC!$D$8,BTC!$D$9)</f>
        <v>0.2</v>
      </c>
      <c r="V52" s="154">
        <f>MAX(U52-BTC!$D$8,BTC!$D$9)</f>
        <v>0.2</v>
      </c>
      <c r="W52" s="154">
        <f>MAX(V52-BTC!$D$8,BTC!$D$9)</f>
        <v>0.2</v>
      </c>
      <c r="X52" s="154">
        <f>MAX(W52-BTC!$D$8,BTC!$D$9)</f>
        <v>0.2</v>
      </c>
      <c r="Y52" s="149"/>
      <c r="Z52" s="149"/>
      <c r="AA52" s="149"/>
      <c r="AB52" s="149"/>
      <c r="AC52" s="149"/>
      <c r="AD52" s="149"/>
      <c r="AE52" s="149"/>
      <c r="AF52" s="149"/>
      <c r="AG52" s="149"/>
    </row>
    <row r="53" spans="2:38" hidden="1" outlineLevel="1" x14ac:dyDescent="0.2">
      <c r="B53" s="149"/>
      <c r="C53" s="152"/>
      <c r="D53" s="153"/>
      <c r="E53" s="154"/>
      <c r="F53" s="154"/>
      <c r="G53" s="154"/>
      <c r="H53" s="154"/>
      <c r="I53" s="154"/>
      <c r="J53" s="154"/>
      <c r="K53" s="154"/>
      <c r="L53" s="154"/>
      <c r="M53" s="154"/>
      <c r="N53" s="154"/>
      <c r="O53" s="154"/>
      <c r="P53" s="154"/>
      <c r="Q53" s="154"/>
      <c r="R53" s="154"/>
      <c r="S53" s="154"/>
      <c r="T53" s="154"/>
      <c r="U53" s="154"/>
      <c r="V53" s="154"/>
      <c r="W53" s="154"/>
      <c r="X53" s="154"/>
      <c r="Y53" s="149"/>
      <c r="Z53" s="149"/>
      <c r="AA53" s="149"/>
      <c r="AB53" s="149"/>
      <c r="AC53" s="149"/>
      <c r="AD53" s="149"/>
      <c r="AE53" s="149"/>
      <c r="AF53" s="149"/>
      <c r="AG53" s="149"/>
    </row>
    <row r="54" spans="2:38" hidden="1" outlineLevel="1" collapsed="1" x14ac:dyDescent="0.2">
      <c r="B54" s="148" t="s">
        <v>79</v>
      </c>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row>
    <row r="55" spans="2:38" hidden="1" outlineLevel="1" x14ac:dyDescent="0.2">
      <c r="B55" s="149" t="s">
        <v>42</v>
      </c>
      <c r="C55" s="149"/>
      <c r="D55" s="155">
        <f t="shared" ref="D55:X55" si="91">D$40+D45+D$41</f>
        <v>4.9999999999999996E-2</v>
      </c>
      <c r="E55" s="155">
        <f t="shared" si="91"/>
        <v>4.9999999999999996E-2</v>
      </c>
      <c r="F55" s="155">
        <f t="shared" si="91"/>
        <v>4.9999999999999996E-2</v>
      </c>
      <c r="G55" s="155">
        <f t="shared" si="91"/>
        <v>4.9999999999999996E-2</v>
      </c>
      <c r="H55" s="155">
        <f t="shared" si="91"/>
        <v>4.9999999999999996E-2</v>
      </c>
      <c r="I55" s="155">
        <f t="shared" si="91"/>
        <v>4.9999999999999996E-2</v>
      </c>
      <c r="J55" s="155">
        <f t="shared" si="91"/>
        <v>4.9999999999999996E-2</v>
      </c>
      <c r="K55" s="155">
        <f t="shared" si="91"/>
        <v>4.9999999999999996E-2</v>
      </c>
      <c r="L55" s="155">
        <f t="shared" si="91"/>
        <v>4.9999999999999996E-2</v>
      </c>
      <c r="M55" s="155">
        <f t="shared" si="91"/>
        <v>4.9999999999999996E-2</v>
      </c>
      <c r="N55" s="155">
        <f t="shared" si="91"/>
        <v>4.9999999999999996E-2</v>
      </c>
      <c r="O55" s="155">
        <f t="shared" si="91"/>
        <v>4.9999999999999996E-2</v>
      </c>
      <c r="P55" s="155">
        <f t="shared" si="91"/>
        <v>4.9999999999999996E-2</v>
      </c>
      <c r="Q55" s="155">
        <f t="shared" si="91"/>
        <v>4.9999999999999996E-2</v>
      </c>
      <c r="R55" s="155">
        <f t="shared" si="91"/>
        <v>4.9999999999999996E-2</v>
      </c>
      <c r="S55" s="155">
        <f t="shared" si="91"/>
        <v>4.9999999999999996E-2</v>
      </c>
      <c r="T55" s="155">
        <f t="shared" si="91"/>
        <v>4.9999999999999996E-2</v>
      </c>
      <c r="U55" s="155">
        <f t="shared" si="91"/>
        <v>4.9999999999999996E-2</v>
      </c>
      <c r="V55" s="155">
        <f t="shared" si="91"/>
        <v>4.9999999999999996E-2</v>
      </c>
      <c r="W55" s="155">
        <f t="shared" si="91"/>
        <v>4.9999999999999996E-2</v>
      </c>
      <c r="X55" s="155">
        <f t="shared" si="91"/>
        <v>4.9999999999999996E-2</v>
      </c>
      <c r="Y55" s="149"/>
      <c r="Z55" s="149"/>
      <c r="AA55" s="149"/>
      <c r="AB55" s="149"/>
      <c r="AC55" s="149"/>
      <c r="AD55" s="149"/>
      <c r="AE55" s="149"/>
      <c r="AF55" s="149"/>
      <c r="AG55" s="149"/>
    </row>
    <row r="56" spans="2:38" hidden="1" outlineLevel="1" x14ac:dyDescent="0.2">
      <c r="B56" s="149" t="s">
        <v>44</v>
      </c>
      <c r="C56" s="149"/>
      <c r="D56" s="155">
        <f t="shared" ref="D56:X56" si="92">D$40+D46+D$41</f>
        <v>0.09</v>
      </c>
      <c r="E56" s="155">
        <f t="shared" si="92"/>
        <v>0.09</v>
      </c>
      <c r="F56" s="155">
        <f t="shared" si="92"/>
        <v>0.09</v>
      </c>
      <c r="G56" s="155">
        <f t="shared" si="92"/>
        <v>0.09</v>
      </c>
      <c r="H56" s="155">
        <f t="shared" si="92"/>
        <v>0.09</v>
      </c>
      <c r="I56" s="155">
        <f t="shared" si="92"/>
        <v>0.09</v>
      </c>
      <c r="J56" s="155">
        <f t="shared" si="92"/>
        <v>0.09</v>
      </c>
      <c r="K56" s="155">
        <f t="shared" si="92"/>
        <v>0.09</v>
      </c>
      <c r="L56" s="155">
        <f t="shared" si="92"/>
        <v>0.09</v>
      </c>
      <c r="M56" s="155">
        <f t="shared" si="92"/>
        <v>0.09</v>
      </c>
      <c r="N56" s="155">
        <f t="shared" si="92"/>
        <v>0.09</v>
      </c>
      <c r="O56" s="155">
        <f t="shared" si="92"/>
        <v>0.09</v>
      </c>
      <c r="P56" s="155">
        <f t="shared" si="92"/>
        <v>0.09</v>
      </c>
      <c r="Q56" s="155">
        <f t="shared" si="92"/>
        <v>0.09</v>
      </c>
      <c r="R56" s="155">
        <f t="shared" si="92"/>
        <v>0.09</v>
      </c>
      <c r="S56" s="155">
        <f t="shared" si="92"/>
        <v>0.09</v>
      </c>
      <c r="T56" s="155">
        <f t="shared" si="92"/>
        <v>0.09</v>
      </c>
      <c r="U56" s="155">
        <f t="shared" si="92"/>
        <v>0.09</v>
      </c>
      <c r="V56" s="155">
        <f t="shared" si="92"/>
        <v>0.09</v>
      </c>
      <c r="W56" s="155">
        <f t="shared" si="92"/>
        <v>0.09</v>
      </c>
      <c r="X56" s="155">
        <f t="shared" si="92"/>
        <v>0.09</v>
      </c>
      <c r="Y56" s="149"/>
      <c r="Z56" s="149"/>
      <c r="AA56" s="149"/>
      <c r="AB56" s="149"/>
      <c r="AC56" s="149"/>
      <c r="AD56" s="149"/>
      <c r="AE56" s="149"/>
      <c r="AF56" s="149"/>
      <c r="AG56" s="149"/>
    </row>
    <row r="57" spans="2:38" hidden="1" outlineLevel="1" x14ac:dyDescent="0.2">
      <c r="B57" s="149" t="s">
        <v>46</v>
      </c>
      <c r="C57" s="149"/>
      <c r="D57" s="155">
        <f t="shared" ref="D57:X57" si="93">D$40+D47+D$41</f>
        <v>9.9999999999999992E-2</v>
      </c>
      <c r="E57" s="155">
        <f t="shared" si="93"/>
        <v>9.9999999999999992E-2</v>
      </c>
      <c r="F57" s="155">
        <f t="shared" si="93"/>
        <v>9.9999999999999992E-2</v>
      </c>
      <c r="G57" s="155">
        <f t="shared" si="93"/>
        <v>9.9999999999999992E-2</v>
      </c>
      <c r="H57" s="155">
        <f t="shared" si="93"/>
        <v>9.9999999999999992E-2</v>
      </c>
      <c r="I57" s="155">
        <f t="shared" si="93"/>
        <v>9.9999999999999992E-2</v>
      </c>
      <c r="J57" s="155">
        <f t="shared" si="93"/>
        <v>9.9999999999999992E-2</v>
      </c>
      <c r="K57" s="155">
        <f t="shared" si="93"/>
        <v>9.9999999999999992E-2</v>
      </c>
      <c r="L57" s="155">
        <f t="shared" si="93"/>
        <v>9.9999999999999992E-2</v>
      </c>
      <c r="M57" s="155">
        <f t="shared" si="93"/>
        <v>9.9999999999999992E-2</v>
      </c>
      <c r="N57" s="155">
        <f t="shared" si="93"/>
        <v>9.9999999999999992E-2</v>
      </c>
      <c r="O57" s="155">
        <f t="shared" si="93"/>
        <v>9.9999999999999992E-2</v>
      </c>
      <c r="P57" s="155">
        <f t="shared" si="93"/>
        <v>9.9999999999999992E-2</v>
      </c>
      <c r="Q57" s="155">
        <f t="shared" si="93"/>
        <v>9.9999999999999992E-2</v>
      </c>
      <c r="R57" s="155">
        <f t="shared" si="93"/>
        <v>9.9999999999999992E-2</v>
      </c>
      <c r="S57" s="155">
        <f t="shared" si="93"/>
        <v>9.9999999999999992E-2</v>
      </c>
      <c r="T57" s="155">
        <f t="shared" si="93"/>
        <v>9.9999999999999992E-2</v>
      </c>
      <c r="U57" s="155">
        <f t="shared" si="93"/>
        <v>9.9999999999999992E-2</v>
      </c>
      <c r="V57" s="155">
        <f t="shared" si="93"/>
        <v>9.9999999999999992E-2</v>
      </c>
      <c r="W57" s="155">
        <f t="shared" si="93"/>
        <v>9.9999999999999992E-2</v>
      </c>
      <c r="X57" s="155">
        <f t="shared" si="93"/>
        <v>9.9999999999999992E-2</v>
      </c>
      <c r="Y57" s="149"/>
      <c r="Z57" s="162"/>
      <c r="AA57" s="149"/>
      <c r="AB57" s="149"/>
      <c r="AC57" s="149"/>
      <c r="AD57" s="149"/>
      <c r="AE57" s="149"/>
      <c r="AF57" s="149"/>
      <c r="AG57" s="149"/>
    </row>
    <row r="58" spans="2:38" hidden="1" outlineLevel="1" x14ac:dyDescent="0.2">
      <c r="B58" s="149" t="s">
        <v>49</v>
      </c>
      <c r="C58" s="149"/>
      <c r="D58" s="155">
        <f t="shared" ref="D58:X58" si="94">D$40+D48+D$41</f>
        <v>6.9999999999999993E-2</v>
      </c>
      <c r="E58" s="155">
        <f t="shared" si="94"/>
        <v>6.9999999999999993E-2</v>
      </c>
      <c r="F58" s="155">
        <f t="shared" si="94"/>
        <v>6.9999999999999993E-2</v>
      </c>
      <c r="G58" s="155">
        <f t="shared" si="94"/>
        <v>6.9999999999999993E-2</v>
      </c>
      <c r="H58" s="155">
        <f t="shared" si="94"/>
        <v>6.9999999999999993E-2</v>
      </c>
      <c r="I58" s="155">
        <f t="shared" si="94"/>
        <v>6.9999999999999993E-2</v>
      </c>
      <c r="J58" s="155">
        <f t="shared" si="94"/>
        <v>6.9999999999999993E-2</v>
      </c>
      <c r="K58" s="155">
        <f t="shared" si="94"/>
        <v>6.9999999999999993E-2</v>
      </c>
      <c r="L58" s="155">
        <f t="shared" si="94"/>
        <v>6.9999999999999993E-2</v>
      </c>
      <c r="M58" s="155">
        <f t="shared" si="94"/>
        <v>6.9999999999999993E-2</v>
      </c>
      <c r="N58" s="155">
        <f t="shared" si="94"/>
        <v>6.9999999999999993E-2</v>
      </c>
      <c r="O58" s="155">
        <f t="shared" si="94"/>
        <v>6.9999999999999993E-2</v>
      </c>
      <c r="P58" s="155">
        <f t="shared" si="94"/>
        <v>6.9999999999999993E-2</v>
      </c>
      <c r="Q58" s="155">
        <f t="shared" si="94"/>
        <v>6.9999999999999993E-2</v>
      </c>
      <c r="R58" s="155">
        <f t="shared" si="94"/>
        <v>6.9999999999999993E-2</v>
      </c>
      <c r="S58" s="155">
        <f t="shared" si="94"/>
        <v>6.9999999999999993E-2</v>
      </c>
      <c r="T58" s="155">
        <f t="shared" si="94"/>
        <v>6.9999999999999993E-2</v>
      </c>
      <c r="U58" s="155">
        <f t="shared" si="94"/>
        <v>6.9999999999999993E-2</v>
      </c>
      <c r="V58" s="155">
        <f t="shared" si="94"/>
        <v>6.9999999999999993E-2</v>
      </c>
      <c r="W58" s="155">
        <f t="shared" si="94"/>
        <v>6.9999999999999993E-2</v>
      </c>
      <c r="X58" s="155">
        <f t="shared" si="94"/>
        <v>6.9999999999999993E-2</v>
      </c>
      <c r="Y58" s="149"/>
      <c r="Z58" s="162"/>
      <c r="AA58" s="149"/>
      <c r="AB58" s="149"/>
      <c r="AC58" s="149"/>
      <c r="AD58" s="149"/>
      <c r="AE58" s="149"/>
      <c r="AF58" s="149"/>
      <c r="AG58" s="149"/>
    </row>
    <row r="59" spans="2:38" hidden="1" outlineLevel="1" x14ac:dyDescent="0.2">
      <c r="B59" s="149" t="s">
        <v>51</v>
      </c>
      <c r="C59" s="149"/>
      <c r="D59" s="155">
        <f t="shared" ref="D59:X59" si="95">D$40+D49+D$41</f>
        <v>4.9999999999999996E-2</v>
      </c>
      <c r="E59" s="155">
        <f t="shared" si="95"/>
        <v>4.9999999999999996E-2</v>
      </c>
      <c r="F59" s="155">
        <f t="shared" si="95"/>
        <v>4.9999999999999996E-2</v>
      </c>
      <c r="G59" s="155">
        <f t="shared" si="95"/>
        <v>4.9999999999999996E-2</v>
      </c>
      <c r="H59" s="155">
        <f t="shared" si="95"/>
        <v>4.9999999999999996E-2</v>
      </c>
      <c r="I59" s="155">
        <f t="shared" si="95"/>
        <v>4.9999999999999996E-2</v>
      </c>
      <c r="J59" s="155">
        <f t="shared" si="95"/>
        <v>4.9999999999999996E-2</v>
      </c>
      <c r="K59" s="155">
        <f t="shared" si="95"/>
        <v>4.9999999999999996E-2</v>
      </c>
      <c r="L59" s="155">
        <f t="shared" si="95"/>
        <v>4.9999999999999996E-2</v>
      </c>
      <c r="M59" s="155">
        <f t="shared" si="95"/>
        <v>4.9999999999999996E-2</v>
      </c>
      <c r="N59" s="155">
        <f t="shared" si="95"/>
        <v>4.9999999999999996E-2</v>
      </c>
      <c r="O59" s="155">
        <f t="shared" si="95"/>
        <v>4.9999999999999996E-2</v>
      </c>
      <c r="P59" s="155">
        <f t="shared" si="95"/>
        <v>4.9999999999999996E-2</v>
      </c>
      <c r="Q59" s="155">
        <f t="shared" si="95"/>
        <v>4.9999999999999996E-2</v>
      </c>
      <c r="R59" s="155">
        <f t="shared" si="95"/>
        <v>4.9999999999999996E-2</v>
      </c>
      <c r="S59" s="155">
        <f t="shared" si="95"/>
        <v>4.9999999999999996E-2</v>
      </c>
      <c r="T59" s="155">
        <f t="shared" si="95"/>
        <v>4.9999999999999996E-2</v>
      </c>
      <c r="U59" s="155">
        <f t="shared" si="95"/>
        <v>4.9999999999999996E-2</v>
      </c>
      <c r="V59" s="155">
        <f t="shared" si="95"/>
        <v>4.9999999999999996E-2</v>
      </c>
      <c r="W59" s="155">
        <f t="shared" si="95"/>
        <v>4.9999999999999996E-2</v>
      </c>
      <c r="X59" s="155">
        <f t="shared" si="95"/>
        <v>4.9999999999999996E-2</v>
      </c>
      <c r="Y59" s="149"/>
      <c r="Z59" s="149"/>
      <c r="AA59" s="149"/>
      <c r="AB59" s="149"/>
      <c r="AC59" s="149"/>
      <c r="AD59" s="149"/>
      <c r="AE59" s="149"/>
      <c r="AF59" s="149"/>
      <c r="AG59" s="149"/>
      <c r="AJ59" s="43"/>
      <c r="AK59" s="43"/>
      <c r="AL59" s="43"/>
    </row>
    <row r="60" spans="2:38" hidden="1" outlineLevel="1" x14ac:dyDescent="0.2">
      <c r="B60" s="149" t="s">
        <v>53</v>
      </c>
      <c r="C60" s="149"/>
      <c r="D60" s="155">
        <f t="shared" ref="D60:X60" si="96">D$40+D50+D$41</f>
        <v>6.9999999999999993E-2</v>
      </c>
      <c r="E60" s="155">
        <f t="shared" si="96"/>
        <v>6.9999999999999993E-2</v>
      </c>
      <c r="F60" s="155">
        <f t="shared" si="96"/>
        <v>6.9999999999999993E-2</v>
      </c>
      <c r="G60" s="155">
        <f t="shared" si="96"/>
        <v>6.9999999999999993E-2</v>
      </c>
      <c r="H60" s="155">
        <f t="shared" si="96"/>
        <v>6.9999999999999993E-2</v>
      </c>
      <c r="I60" s="155">
        <f t="shared" si="96"/>
        <v>6.9999999999999993E-2</v>
      </c>
      <c r="J60" s="155">
        <f t="shared" si="96"/>
        <v>6.9999999999999993E-2</v>
      </c>
      <c r="K60" s="155">
        <f t="shared" si="96"/>
        <v>6.9999999999999993E-2</v>
      </c>
      <c r="L60" s="155">
        <f t="shared" si="96"/>
        <v>6.9999999999999993E-2</v>
      </c>
      <c r="M60" s="155">
        <f t="shared" si="96"/>
        <v>6.9999999999999993E-2</v>
      </c>
      <c r="N60" s="155">
        <f t="shared" si="96"/>
        <v>6.9999999999999993E-2</v>
      </c>
      <c r="O60" s="155">
        <f t="shared" si="96"/>
        <v>6.9999999999999993E-2</v>
      </c>
      <c r="P60" s="155">
        <f t="shared" si="96"/>
        <v>6.9999999999999993E-2</v>
      </c>
      <c r="Q60" s="155">
        <f t="shared" si="96"/>
        <v>6.9999999999999993E-2</v>
      </c>
      <c r="R60" s="155">
        <f t="shared" si="96"/>
        <v>6.9999999999999993E-2</v>
      </c>
      <c r="S60" s="155">
        <f t="shared" si="96"/>
        <v>6.9999999999999993E-2</v>
      </c>
      <c r="T60" s="155">
        <f t="shared" si="96"/>
        <v>6.9999999999999993E-2</v>
      </c>
      <c r="U60" s="155">
        <f t="shared" si="96"/>
        <v>6.9999999999999993E-2</v>
      </c>
      <c r="V60" s="155">
        <f t="shared" si="96"/>
        <v>6.9999999999999993E-2</v>
      </c>
      <c r="W60" s="155">
        <f t="shared" si="96"/>
        <v>6.9999999999999993E-2</v>
      </c>
      <c r="X60" s="155">
        <f t="shared" si="96"/>
        <v>6.9999999999999993E-2</v>
      </c>
      <c r="Y60" s="149"/>
      <c r="Z60" s="149"/>
      <c r="AA60" s="149"/>
      <c r="AB60" s="149"/>
      <c r="AC60" s="149"/>
      <c r="AD60" s="149"/>
      <c r="AE60" s="149"/>
      <c r="AF60" s="149"/>
      <c r="AG60" s="149"/>
      <c r="AJ60" s="43"/>
      <c r="AK60" s="43"/>
      <c r="AL60" s="43"/>
    </row>
    <row r="61" spans="2:38" hidden="1" outlineLevel="1" x14ac:dyDescent="0.2">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c r="AD61" s="149"/>
      <c r="AE61" s="149"/>
      <c r="AF61" s="149"/>
      <c r="AG61" s="149"/>
      <c r="AJ61" s="43"/>
      <c r="AK61" s="43"/>
      <c r="AL61" s="43"/>
    </row>
    <row r="62" spans="2:38" hidden="1" outlineLevel="1" x14ac:dyDescent="0.2">
      <c r="B62" s="160" t="s">
        <v>40</v>
      </c>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J62" s="43"/>
      <c r="AK62" s="43"/>
      <c r="AL62" s="43"/>
    </row>
    <row r="63" spans="2:38" hidden="1" outlineLevel="1" x14ac:dyDescent="0.2">
      <c r="B63" s="149" t="s">
        <v>42</v>
      </c>
      <c r="C63" s="149"/>
      <c r="D63" s="163">
        <f>AD5</f>
        <v>1.7500000000000002E-2</v>
      </c>
      <c r="E63" s="164">
        <f t="shared" ref="E63:X63" si="97">D63</f>
        <v>1.7500000000000002E-2</v>
      </c>
      <c r="F63" s="164">
        <f t="shared" si="97"/>
        <v>1.7500000000000002E-2</v>
      </c>
      <c r="G63" s="164">
        <f t="shared" si="97"/>
        <v>1.7500000000000002E-2</v>
      </c>
      <c r="H63" s="164">
        <f t="shared" si="97"/>
        <v>1.7500000000000002E-2</v>
      </c>
      <c r="I63" s="164">
        <f t="shared" si="97"/>
        <v>1.7500000000000002E-2</v>
      </c>
      <c r="J63" s="164">
        <f t="shared" si="97"/>
        <v>1.7500000000000002E-2</v>
      </c>
      <c r="K63" s="164">
        <f t="shared" si="97"/>
        <v>1.7500000000000002E-2</v>
      </c>
      <c r="L63" s="164">
        <f t="shared" si="97"/>
        <v>1.7500000000000002E-2</v>
      </c>
      <c r="M63" s="164">
        <f t="shared" si="97"/>
        <v>1.7500000000000002E-2</v>
      </c>
      <c r="N63" s="164">
        <f t="shared" si="97"/>
        <v>1.7500000000000002E-2</v>
      </c>
      <c r="O63" s="164">
        <f t="shared" si="97"/>
        <v>1.7500000000000002E-2</v>
      </c>
      <c r="P63" s="164">
        <f t="shared" si="97"/>
        <v>1.7500000000000002E-2</v>
      </c>
      <c r="Q63" s="164">
        <f t="shared" si="97"/>
        <v>1.7500000000000002E-2</v>
      </c>
      <c r="R63" s="164">
        <f t="shared" si="97"/>
        <v>1.7500000000000002E-2</v>
      </c>
      <c r="S63" s="164">
        <f t="shared" si="97"/>
        <v>1.7500000000000002E-2</v>
      </c>
      <c r="T63" s="164">
        <f t="shared" si="97"/>
        <v>1.7500000000000002E-2</v>
      </c>
      <c r="U63" s="164">
        <f t="shared" si="97"/>
        <v>1.7500000000000002E-2</v>
      </c>
      <c r="V63" s="164">
        <f t="shared" si="97"/>
        <v>1.7500000000000002E-2</v>
      </c>
      <c r="W63" s="164">
        <f t="shared" si="97"/>
        <v>1.7500000000000002E-2</v>
      </c>
      <c r="X63" s="164">
        <f t="shared" si="97"/>
        <v>1.7500000000000002E-2</v>
      </c>
      <c r="Y63" s="149"/>
      <c r="Z63" s="149"/>
      <c r="AA63" s="149"/>
      <c r="AB63" s="149"/>
      <c r="AC63" s="149"/>
      <c r="AD63" s="149"/>
      <c r="AE63" s="149"/>
      <c r="AF63" s="149"/>
      <c r="AG63" s="149"/>
      <c r="AJ63" s="43"/>
      <c r="AK63" s="43"/>
      <c r="AL63" s="43"/>
    </row>
    <row r="64" spans="2:38" hidden="1" outlineLevel="1" x14ac:dyDescent="0.2">
      <c r="B64" s="149" t="s">
        <v>44</v>
      </c>
      <c r="C64" s="149"/>
      <c r="D64" s="163">
        <f>AD6</f>
        <v>1.2500000000000001E-2</v>
      </c>
      <c r="E64" s="164">
        <f t="shared" ref="E64:X64" si="98">D64</f>
        <v>1.2500000000000001E-2</v>
      </c>
      <c r="F64" s="164">
        <f t="shared" si="98"/>
        <v>1.2500000000000001E-2</v>
      </c>
      <c r="G64" s="164">
        <f t="shared" si="98"/>
        <v>1.2500000000000001E-2</v>
      </c>
      <c r="H64" s="164">
        <f t="shared" si="98"/>
        <v>1.2500000000000001E-2</v>
      </c>
      <c r="I64" s="164">
        <f t="shared" si="98"/>
        <v>1.2500000000000001E-2</v>
      </c>
      <c r="J64" s="164">
        <f t="shared" si="98"/>
        <v>1.2500000000000001E-2</v>
      </c>
      <c r="K64" s="164">
        <f t="shared" si="98"/>
        <v>1.2500000000000001E-2</v>
      </c>
      <c r="L64" s="164">
        <f t="shared" si="98"/>
        <v>1.2500000000000001E-2</v>
      </c>
      <c r="M64" s="164">
        <f t="shared" si="98"/>
        <v>1.2500000000000001E-2</v>
      </c>
      <c r="N64" s="164">
        <f t="shared" si="98"/>
        <v>1.2500000000000001E-2</v>
      </c>
      <c r="O64" s="164">
        <f t="shared" si="98"/>
        <v>1.2500000000000001E-2</v>
      </c>
      <c r="P64" s="164">
        <f t="shared" si="98"/>
        <v>1.2500000000000001E-2</v>
      </c>
      <c r="Q64" s="164">
        <f t="shared" si="98"/>
        <v>1.2500000000000001E-2</v>
      </c>
      <c r="R64" s="164">
        <f t="shared" si="98"/>
        <v>1.2500000000000001E-2</v>
      </c>
      <c r="S64" s="164">
        <f t="shared" si="98"/>
        <v>1.2500000000000001E-2</v>
      </c>
      <c r="T64" s="164">
        <f t="shared" si="98"/>
        <v>1.2500000000000001E-2</v>
      </c>
      <c r="U64" s="164">
        <f t="shared" si="98"/>
        <v>1.2500000000000001E-2</v>
      </c>
      <c r="V64" s="164">
        <f t="shared" si="98"/>
        <v>1.2500000000000001E-2</v>
      </c>
      <c r="W64" s="164">
        <f t="shared" si="98"/>
        <v>1.2500000000000001E-2</v>
      </c>
      <c r="X64" s="164">
        <f t="shared" si="98"/>
        <v>1.2500000000000001E-2</v>
      </c>
      <c r="Y64" s="149"/>
      <c r="Z64" s="149"/>
      <c r="AA64" s="149"/>
      <c r="AB64" s="149"/>
      <c r="AC64" s="149"/>
      <c r="AD64" s="149"/>
      <c r="AE64" s="149"/>
      <c r="AF64" s="149"/>
      <c r="AG64" s="149"/>
      <c r="AJ64" s="43"/>
      <c r="AK64" s="43"/>
      <c r="AL64" s="43"/>
    </row>
    <row r="65" spans="2:33" hidden="1" outlineLevel="1" x14ac:dyDescent="0.2">
      <c r="B65" s="149" t="s">
        <v>46</v>
      </c>
      <c r="C65" s="149"/>
      <c r="D65" s="163">
        <f>AD7</f>
        <v>0.01</v>
      </c>
      <c r="E65" s="164">
        <f t="shared" ref="E65:X65" si="99">D65</f>
        <v>0.01</v>
      </c>
      <c r="F65" s="164">
        <f t="shared" si="99"/>
        <v>0.01</v>
      </c>
      <c r="G65" s="164">
        <f t="shared" si="99"/>
        <v>0.01</v>
      </c>
      <c r="H65" s="164">
        <f t="shared" si="99"/>
        <v>0.01</v>
      </c>
      <c r="I65" s="164">
        <f t="shared" si="99"/>
        <v>0.01</v>
      </c>
      <c r="J65" s="164">
        <f t="shared" si="99"/>
        <v>0.01</v>
      </c>
      <c r="K65" s="164">
        <f t="shared" si="99"/>
        <v>0.01</v>
      </c>
      <c r="L65" s="164">
        <f t="shared" si="99"/>
        <v>0.01</v>
      </c>
      <c r="M65" s="164">
        <f t="shared" si="99"/>
        <v>0.01</v>
      </c>
      <c r="N65" s="164">
        <f t="shared" si="99"/>
        <v>0.01</v>
      </c>
      <c r="O65" s="164">
        <f t="shared" si="99"/>
        <v>0.01</v>
      </c>
      <c r="P65" s="164">
        <f t="shared" si="99"/>
        <v>0.01</v>
      </c>
      <c r="Q65" s="164">
        <f t="shared" si="99"/>
        <v>0.01</v>
      </c>
      <c r="R65" s="164">
        <f t="shared" si="99"/>
        <v>0.01</v>
      </c>
      <c r="S65" s="164">
        <f t="shared" si="99"/>
        <v>0.01</v>
      </c>
      <c r="T65" s="164">
        <f t="shared" si="99"/>
        <v>0.01</v>
      </c>
      <c r="U65" s="164">
        <f t="shared" si="99"/>
        <v>0.01</v>
      </c>
      <c r="V65" s="164">
        <f t="shared" si="99"/>
        <v>0.01</v>
      </c>
      <c r="W65" s="164">
        <f t="shared" si="99"/>
        <v>0.01</v>
      </c>
      <c r="X65" s="164">
        <f t="shared" si="99"/>
        <v>0.01</v>
      </c>
      <c r="Y65" s="149"/>
      <c r="Z65" s="149"/>
      <c r="AA65" s="149"/>
      <c r="AB65" s="149"/>
      <c r="AC65" s="149"/>
      <c r="AD65" s="149"/>
      <c r="AE65" s="149"/>
      <c r="AF65" s="149"/>
      <c r="AG65" s="149"/>
    </row>
    <row r="66" spans="2:33" hidden="1" outlineLevel="1" x14ac:dyDescent="0.2">
      <c r="B66" s="149" t="s">
        <v>49</v>
      </c>
      <c r="C66" s="149"/>
      <c r="D66" s="163">
        <f>AD8</f>
        <v>0.02</v>
      </c>
      <c r="E66" s="164">
        <f t="shared" ref="E66:X66" si="100">D66</f>
        <v>0.02</v>
      </c>
      <c r="F66" s="164">
        <f t="shared" si="100"/>
        <v>0.02</v>
      </c>
      <c r="G66" s="164">
        <f t="shared" si="100"/>
        <v>0.02</v>
      </c>
      <c r="H66" s="164">
        <f t="shared" si="100"/>
        <v>0.02</v>
      </c>
      <c r="I66" s="164">
        <f t="shared" si="100"/>
        <v>0.02</v>
      </c>
      <c r="J66" s="164">
        <f t="shared" si="100"/>
        <v>0.02</v>
      </c>
      <c r="K66" s="164">
        <f t="shared" si="100"/>
        <v>0.02</v>
      </c>
      <c r="L66" s="164">
        <f t="shared" si="100"/>
        <v>0.02</v>
      </c>
      <c r="M66" s="164">
        <f t="shared" si="100"/>
        <v>0.02</v>
      </c>
      <c r="N66" s="164">
        <f t="shared" si="100"/>
        <v>0.02</v>
      </c>
      <c r="O66" s="164">
        <f t="shared" si="100"/>
        <v>0.02</v>
      </c>
      <c r="P66" s="164">
        <f t="shared" si="100"/>
        <v>0.02</v>
      </c>
      <c r="Q66" s="164">
        <f t="shared" si="100"/>
        <v>0.02</v>
      </c>
      <c r="R66" s="164">
        <f t="shared" si="100"/>
        <v>0.02</v>
      </c>
      <c r="S66" s="164">
        <f t="shared" si="100"/>
        <v>0.02</v>
      </c>
      <c r="T66" s="164">
        <f t="shared" si="100"/>
        <v>0.02</v>
      </c>
      <c r="U66" s="164">
        <f t="shared" si="100"/>
        <v>0.02</v>
      </c>
      <c r="V66" s="164">
        <f t="shared" si="100"/>
        <v>0.02</v>
      </c>
      <c r="W66" s="164">
        <f t="shared" si="100"/>
        <v>0.02</v>
      </c>
      <c r="X66" s="164">
        <f t="shared" si="100"/>
        <v>0.02</v>
      </c>
      <c r="Y66" s="149"/>
      <c r="Z66" s="149"/>
      <c r="AA66" s="149"/>
      <c r="AB66" s="149"/>
      <c r="AC66" s="149"/>
      <c r="AD66" s="149"/>
      <c r="AE66" s="149"/>
      <c r="AF66" s="149"/>
      <c r="AG66" s="149"/>
    </row>
    <row r="67" spans="2:33" hidden="1" outlineLevel="1" x14ac:dyDescent="0.2">
      <c r="B67" s="149"/>
      <c r="C67" s="149"/>
      <c r="D67" s="165"/>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row>
    <row r="68" spans="2:33" hidden="1" outlineLevel="1" x14ac:dyDescent="0.2">
      <c r="B68" s="160" t="s">
        <v>80</v>
      </c>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row>
    <row r="69" spans="2:33" hidden="1" outlineLevel="1" x14ac:dyDescent="0.2">
      <c r="B69" s="149" t="s">
        <v>42</v>
      </c>
      <c r="C69" s="149"/>
      <c r="D69" s="167">
        <f t="shared" ref="D69:X69" si="101">(1+D55)/(1+D63)-1</f>
        <v>3.1941031941031817E-2</v>
      </c>
      <c r="E69" s="167">
        <f t="shared" si="101"/>
        <v>3.1941031941031817E-2</v>
      </c>
      <c r="F69" s="167">
        <f t="shared" si="101"/>
        <v>3.1941031941031817E-2</v>
      </c>
      <c r="G69" s="167">
        <f t="shared" si="101"/>
        <v>3.1941031941031817E-2</v>
      </c>
      <c r="H69" s="167">
        <f t="shared" si="101"/>
        <v>3.1941031941031817E-2</v>
      </c>
      <c r="I69" s="167">
        <f t="shared" si="101"/>
        <v>3.1941031941031817E-2</v>
      </c>
      <c r="J69" s="167">
        <f t="shared" si="101"/>
        <v>3.1941031941031817E-2</v>
      </c>
      <c r="K69" s="167">
        <f t="shared" si="101"/>
        <v>3.1941031941031817E-2</v>
      </c>
      <c r="L69" s="167">
        <f t="shared" si="101"/>
        <v>3.1941031941031817E-2</v>
      </c>
      <c r="M69" s="167">
        <f t="shared" si="101"/>
        <v>3.1941031941031817E-2</v>
      </c>
      <c r="N69" s="167">
        <f t="shared" si="101"/>
        <v>3.1941031941031817E-2</v>
      </c>
      <c r="O69" s="167">
        <f t="shared" si="101"/>
        <v>3.1941031941031817E-2</v>
      </c>
      <c r="P69" s="167">
        <f t="shared" si="101"/>
        <v>3.1941031941031817E-2</v>
      </c>
      <c r="Q69" s="167">
        <f t="shared" si="101"/>
        <v>3.1941031941031817E-2</v>
      </c>
      <c r="R69" s="167">
        <f t="shared" si="101"/>
        <v>3.1941031941031817E-2</v>
      </c>
      <c r="S69" s="167">
        <f t="shared" si="101"/>
        <v>3.1941031941031817E-2</v>
      </c>
      <c r="T69" s="167">
        <f t="shared" si="101"/>
        <v>3.1941031941031817E-2</v>
      </c>
      <c r="U69" s="167">
        <f t="shared" si="101"/>
        <v>3.1941031941031817E-2</v>
      </c>
      <c r="V69" s="167">
        <f t="shared" si="101"/>
        <v>3.1941031941031817E-2</v>
      </c>
      <c r="W69" s="167">
        <f t="shared" si="101"/>
        <v>3.1941031941031817E-2</v>
      </c>
      <c r="X69" s="167">
        <f t="shared" si="101"/>
        <v>3.1941031941031817E-2</v>
      </c>
      <c r="Y69" s="149"/>
      <c r="Z69" s="149"/>
      <c r="AA69" s="149"/>
      <c r="AB69" s="149"/>
      <c r="AC69" s="149"/>
      <c r="AD69" s="149"/>
      <c r="AE69" s="149"/>
      <c r="AF69" s="149"/>
      <c r="AG69" s="149"/>
    </row>
    <row r="70" spans="2:33" hidden="1" outlineLevel="1" x14ac:dyDescent="0.2">
      <c r="B70" s="149" t="s">
        <v>44</v>
      </c>
      <c r="C70" s="149"/>
      <c r="D70" s="167">
        <f t="shared" ref="D70:X70" si="102">(1+D56)/(1+D64)-1</f>
        <v>7.6543209876543283E-2</v>
      </c>
      <c r="E70" s="167">
        <f t="shared" si="102"/>
        <v>7.6543209876543283E-2</v>
      </c>
      <c r="F70" s="167">
        <f t="shared" si="102"/>
        <v>7.6543209876543283E-2</v>
      </c>
      <c r="G70" s="167">
        <f t="shared" si="102"/>
        <v>7.6543209876543283E-2</v>
      </c>
      <c r="H70" s="167">
        <f t="shared" si="102"/>
        <v>7.6543209876543283E-2</v>
      </c>
      <c r="I70" s="167">
        <f t="shared" si="102"/>
        <v>7.6543209876543283E-2</v>
      </c>
      <c r="J70" s="167">
        <f t="shared" si="102"/>
        <v>7.6543209876543283E-2</v>
      </c>
      <c r="K70" s="167">
        <f t="shared" si="102"/>
        <v>7.6543209876543283E-2</v>
      </c>
      <c r="L70" s="167">
        <f t="shared" si="102"/>
        <v>7.6543209876543283E-2</v>
      </c>
      <c r="M70" s="167">
        <f t="shared" si="102"/>
        <v>7.6543209876543283E-2</v>
      </c>
      <c r="N70" s="167">
        <f t="shared" si="102"/>
        <v>7.6543209876543283E-2</v>
      </c>
      <c r="O70" s="167">
        <f t="shared" si="102"/>
        <v>7.6543209876543283E-2</v>
      </c>
      <c r="P70" s="167">
        <f t="shared" si="102"/>
        <v>7.6543209876543283E-2</v>
      </c>
      <c r="Q70" s="167">
        <f t="shared" si="102"/>
        <v>7.6543209876543283E-2</v>
      </c>
      <c r="R70" s="167">
        <f t="shared" si="102"/>
        <v>7.6543209876543283E-2</v>
      </c>
      <c r="S70" s="167">
        <f t="shared" si="102"/>
        <v>7.6543209876543283E-2</v>
      </c>
      <c r="T70" s="167">
        <f t="shared" si="102"/>
        <v>7.6543209876543283E-2</v>
      </c>
      <c r="U70" s="167">
        <f t="shared" si="102"/>
        <v>7.6543209876543283E-2</v>
      </c>
      <c r="V70" s="167">
        <f t="shared" si="102"/>
        <v>7.6543209876543283E-2</v>
      </c>
      <c r="W70" s="167">
        <f t="shared" si="102"/>
        <v>7.6543209876543283E-2</v>
      </c>
      <c r="X70" s="167">
        <f t="shared" si="102"/>
        <v>7.6543209876543283E-2</v>
      </c>
      <c r="Y70" s="149"/>
      <c r="Z70" s="149"/>
      <c r="AA70" s="149"/>
      <c r="AB70" s="149"/>
      <c r="AC70" s="149"/>
      <c r="AD70" s="149"/>
      <c r="AE70" s="149"/>
      <c r="AF70" s="149"/>
      <c r="AG70" s="149"/>
    </row>
    <row r="71" spans="2:33" hidden="1" outlineLevel="1" x14ac:dyDescent="0.2">
      <c r="B71" s="149" t="s">
        <v>46</v>
      </c>
      <c r="C71" s="149"/>
      <c r="D71" s="167">
        <f t="shared" ref="D71:X71" si="103">(1+D57)/(1+D65)-1</f>
        <v>8.9108910891089188E-2</v>
      </c>
      <c r="E71" s="167">
        <f t="shared" si="103"/>
        <v>8.9108910891089188E-2</v>
      </c>
      <c r="F71" s="167">
        <f t="shared" si="103"/>
        <v>8.9108910891089188E-2</v>
      </c>
      <c r="G71" s="167">
        <f t="shared" si="103"/>
        <v>8.9108910891089188E-2</v>
      </c>
      <c r="H71" s="167">
        <f t="shared" si="103"/>
        <v>8.9108910891089188E-2</v>
      </c>
      <c r="I71" s="167">
        <f t="shared" si="103"/>
        <v>8.9108910891089188E-2</v>
      </c>
      <c r="J71" s="167">
        <f t="shared" si="103"/>
        <v>8.9108910891089188E-2</v>
      </c>
      <c r="K71" s="167">
        <f t="shared" si="103"/>
        <v>8.9108910891089188E-2</v>
      </c>
      <c r="L71" s="167">
        <f t="shared" si="103"/>
        <v>8.9108910891089188E-2</v>
      </c>
      <c r="M71" s="167">
        <f t="shared" si="103"/>
        <v>8.9108910891089188E-2</v>
      </c>
      <c r="N71" s="167">
        <f t="shared" si="103"/>
        <v>8.9108910891089188E-2</v>
      </c>
      <c r="O71" s="167">
        <f t="shared" si="103"/>
        <v>8.9108910891089188E-2</v>
      </c>
      <c r="P71" s="167">
        <f t="shared" si="103"/>
        <v>8.9108910891089188E-2</v>
      </c>
      <c r="Q71" s="167">
        <f t="shared" si="103"/>
        <v>8.9108910891089188E-2</v>
      </c>
      <c r="R71" s="167">
        <f t="shared" si="103"/>
        <v>8.9108910891089188E-2</v>
      </c>
      <c r="S71" s="167">
        <f t="shared" si="103"/>
        <v>8.9108910891089188E-2</v>
      </c>
      <c r="T71" s="167">
        <f t="shared" si="103"/>
        <v>8.9108910891089188E-2</v>
      </c>
      <c r="U71" s="167">
        <f t="shared" si="103"/>
        <v>8.9108910891089188E-2</v>
      </c>
      <c r="V71" s="167">
        <f t="shared" si="103"/>
        <v>8.9108910891089188E-2</v>
      </c>
      <c r="W71" s="167">
        <f t="shared" si="103"/>
        <v>8.9108910891089188E-2</v>
      </c>
      <c r="X71" s="167">
        <f t="shared" si="103"/>
        <v>8.9108910891089188E-2</v>
      </c>
      <c r="Y71" s="149"/>
      <c r="Z71" s="149"/>
      <c r="AA71" s="149"/>
      <c r="AB71" s="149"/>
      <c r="AC71" s="149"/>
      <c r="AD71" s="149"/>
      <c r="AE71" s="149"/>
      <c r="AF71" s="149"/>
      <c r="AG71" s="149"/>
    </row>
    <row r="72" spans="2:33" hidden="1" outlineLevel="1" x14ac:dyDescent="0.2">
      <c r="B72" s="149" t="s">
        <v>49</v>
      </c>
      <c r="C72" s="149"/>
      <c r="D72" s="167">
        <f t="shared" ref="D72:X72" si="104">(1+D58)/(1+D66)-1</f>
        <v>4.9019607843137303E-2</v>
      </c>
      <c r="E72" s="167">
        <f t="shared" si="104"/>
        <v>4.9019607843137303E-2</v>
      </c>
      <c r="F72" s="167">
        <f t="shared" si="104"/>
        <v>4.9019607843137303E-2</v>
      </c>
      <c r="G72" s="167">
        <f t="shared" si="104"/>
        <v>4.9019607843137303E-2</v>
      </c>
      <c r="H72" s="167">
        <f t="shared" si="104"/>
        <v>4.9019607843137303E-2</v>
      </c>
      <c r="I72" s="167">
        <f t="shared" si="104"/>
        <v>4.9019607843137303E-2</v>
      </c>
      <c r="J72" s="167">
        <f t="shared" si="104"/>
        <v>4.9019607843137303E-2</v>
      </c>
      <c r="K72" s="167">
        <f t="shared" si="104"/>
        <v>4.9019607843137303E-2</v>
      </c>
      <c r="L72" s="167">
        <f t="shared" si="104"/>
        <v>4.9019607843137303E-2</v>
      </c>
      <c r="M72" s="167">
        <f t="shared" si="104"/>
        <v>4.9019607843137303E-2</v>
      </c>
      <c r="N72" s="167">
        <f t="shared" si="104"/>
        <v>4.9019607843137303E-2</v>
      </c>
      <c r="O72" s="167">
        <f t="shared" si="104"/>
        <v>4.9019607843137303E-2</v>
      </c>
      <c r="P72" s="167">
        <f t="shared" si="104"/>
        <v>4.9019607843137303E-2</v>
      </c>
      <c r="Q72" s="167">
        <f t="shared" si="104"/>
        <v>4.9019607843137303E-2</v>
      </c>
      <c r="R72" s="167">
        <f t="shared" si="104"/>
        <v>4.9019607843137303E-2</v>
      </c>
      <c r="S72" s="167">
        <f t="shared" si="104"/>
        <v>4.9019607843137303E-2</v>
      </c>
      <c r="T72" s="167">
        <f t="shared" si="104"/>
        <v>4.9019607843137303E-2</v>
      </c>
      <c r="U72" s="167">
        <f t="shared" si="104"/>
        <v>4.9019607843137303E-2</v>
      </c>
      <c r="V72" s="167">
        <f t="shared" si="104"/>
        <v>4.9019607843137303E-2</v>
      </c>
      <c r="W72" s="167">
        <f t="shared" si="104"/>
        <v>4.9019607843137303E-2</v>
      </c>
      <c r="X72" s="167">
        <f t="shared" si="104"/>
        <v>4.9019607843137303E-2</v>
      </c>
      <c r="Y72" s="149"/>
      <c r="Z72" s="149"/>
      <c r="AA72" s="149"/>
      <c r="AB72" s="149"/>
      <c r="AC72" s="149"/>
      <c r="AD72" s="149"/>
      <c r="AE72" s="149"/>
      <c r="AF72" s="149"/>
      <c r="AG72" s="149"/>
    </row>
    <row r="73" spans="2:33" hidden="1" outlineLevel="1" x14ac:dyDescent="0.2">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row>
    <row r="74" spans="2:33" hidden="1" outlineLevel="1" x14ac:dyDescent="0.2">
      <c r="B74" s="160" t="s">
        <v>54</v>
      </c>
      <c r="C74" s="149"/>
      <c r="D74" s="166"/>
      <c r="E74" s="167"/>
      <c r="F74" s="167"/>
      <c r="G74" s="167"/>
      <c r="H74" s="167"/>
      <c r="I74" s="167"/>
      <c r="J74" s="167"/>
      <c r="K74" s="167"/>
      <c r="L74" s="167"/>
      <c r="M74" s="167"/>
      <c r="N74" s="167"/>
      <c r="O74" s="167"/>
      <c r="P74" s="167"/>
      <c r="Q74" s="167"/>
      <c r="R74" s="167"/>
      <c r="S74" s="167"/>
      <c r="T74" s="167"/>
      <c r="U74" s="167"/>
      <c r="V74" s="167"/>
      <c r="W74" s="167"/>
      <c r="X74" s="167"/>
      <c r="Y74" s="149"/>
      <c r="Z74" s="149"/>
      <c r="AA74" s="149"/>
      <c r="AB74" s="149"/>
      <c r="AC74" s="149"/>
      <c r="AD74" s="149"/>
      <c r="AE74" s="149"/>
      <c r="AF74" s="149"/>
      <c r="AG74" s="149"/>
    </row>
    <row r="75" spans="2:33" hidden="1" outlineLevel="1" x14ac:dyDescent="0.2">
      <c r="B75" s="149" t="s">
        <v>51</v>
      </c>
      <c r="C75" s="149"/>
      <c r="D75" s="163">
        <f>AD11</f>
        <v>7.0000000000000007E-2</v>
      </c>
      <c r="E75" s="167">
        <f t="shared" ref="E75:X75" si="105">D75</f>
        <v>7.0000000000000007E-2</v>
      </c>
      <c r="F75" s="167">
        <f t="shared" si="105"/>
        <v>7.0000000000000007E-2</v>
      </c>
      <c r="G75" s="167">
        <f t="shared" si="105"/>
        <v>7.0000000000000007E-2</v>
      </c>
      <c r="H75" s="167">
        <f t="shared" si="105"/>
        <v>7.0000000000000007E-2</v>
      </c>
      <c r="I75" s="167">
        <f t="shared" si="105"/>
        <v>7.0000000000000007E-2</v>
      </c>
      <c r="J75" s="167">
        <f t="shared" si="105"/>
        <v>7.0000000000000007E-2</v>
      </c>
      <c r="K75" s="167">
        <f t="shared" si="105"/>
        <v>7.0000000000000007E-2</v>
      </c>
      <c r="L75" s="167">
        <f t="shared" si="105"/>
        <v>7.0000000000000007E-2</v>
      </c>
      <c r="M75" s="167">
        <f t="shared" si="105"/>
        <v>7.0000000000000007E-2</v>
      </c>
      <c r="N75" s="167">
        <f t="shared" si="105"/>
        <v>7.0000000000000007E-2</v>
      </c>
      <c r="O75" s="167">
        <f t="shared" si="105"/>
        <v>7.0000000000000007E-2</v>
      </c>
      <c r="P75" s="167">
        <f t="shared" si="105"/>
        <v>7.0000000000000007E-2</v>
      </c>
      <c r="Q75" s="167">
        <f t="shared" si="105"/>
        <v>7.0000000000000007E-2</v>
      </c>
      <c r="R75" s="167">
        <f t="shared" si="105"/>
        <v>7.0000000000000007E-2</v>
      </c>
      <c r="S75" s="167">
        <f t="shared" si="105"/>
        <v>7.0000000000000007E-2</v>
      </c>
      <c r="T75" s="167">
        <f t="shared" si="105"/>
        <v>7.0000000000000007E-2</v>
      </c>
      <c r="U75" s="167">
        <f t="shared" si="105"/>
        <v>7.0000000000000007E-2</v>
      </c>
      <c r="V75" s="167">
        <f t="shared" si="105"/>
        <v>7.0000000000000007E-2</v>
      </c>
      <c r="W75" s="167">
        <f t="shared" si="105"/>
        <v>7.0000000000000007E-2</v>
      </c>
      <c r="X75" s="167">
        <f t="shared" si="105"/>
        <v>7.0000000000000007E-2</v>
      </c>
      <c r="Y75" s="149"/>
      <c r="Z75" s="149"/>
      <c r="AA75" s="149"/>
      <c r="AB75" s="149"/>
      <c r="AC75" s="149"/>
      <c r="AD75" s="149"/>
      <c r="AE75" s="149"/>
      <c r="AF75" s="149"/>
      <c r="AG75" s="149"/>
    </row>
    <row r="76" spans="2:33" hidden="1" outlineLevel="1" x14ac:dyDescent="0.2">
      <c r="B76" s="149" t="s">
        <v>53</v>
      </c>
      <c r="C76" s="149"/>
      <c r="D76" s="163">
        <f>AD12</f>
        <v>0.02</v>
      </c>
      <c r="E76" s="167">
        <f t="shared" ref="E76:X76" si="106">D76</f>
        <v>0.02</v>
      </c>
      <c r="F76" s="167">
        <f t="shared" si="106"/>
        <v>0.02</v>
      </c>
      <c r="G76" s="167">
        <f t="shared" si="106"/>
        <v>0.02</v>
      </c>
      <c r="H76" s="167">
        <f t="shared" si="106"/>
        <v>0.02</v>
      </c>
      <c r="I76" s="167">
        <f t="shared" si="106"/>
        <v>0.02</v>
      </c>
      <c r="J76" s="167">
        <f t="shared" si="106"/>
        <v>0.02</v>
      </c>
      <c r="K76" s="167">
        <f t="shared" si="106"/>
        <v>0.02</v>
      </c>
      <c r="L76" s="167">
        <f t="shared" si="106"/>
        <v>0.02</v>
      </c>
      <c r="M76" s="167">
        <f t="shared" si="106"/>
        <v>0.02</v>
      </c>
      <c r="N76" s="167">
        <f t="shared" si="106"/>
        <v>0.02</v>
      </c>
      <c r="O76" s="167">
        <f t="shared" si="106"/>
        <v>0.02</v>
      </c>
      <c r="P76" s="167">
        <f t="shared" si="106"/>
        <v>0.02</v>
      </c>
      <c r="Q76" s="167">
        <f t="shared" si="106"/>
        <v>0.02</v>
      </c>
      <c r="R76" s="167">
        <f t="shared" si="106"/>
        <v>0.02</v>
      </c>
      <c r="S76" s="167">
        <f t="shared" si="106"/>
        <v>0.02</v>
      </c>
      <c r="T76" s="167">
        <f t="shared" si="106"/>
        <v>0.02</v>
      </c>
      <c r="U76" s="167">
        <f t="shared" si="106"/>
        <v>0.02</v>
      </c>
      <c r="V76" s="167">
        <f t="shared" si="106"/>
        <v>0.02</v>
      </c>
      <c r="W76" s="167">
        <f t="shared" si="106"/>
        <v>0.02</v>
      </c>
      <c r="X76" s="167">
        <f t="shared" si="106"/>
        <v>0.02</v>
      </c>
      <c r="Y76" s="149"/>
      <c r="Z76" s="149"/>
      <c r="AA76" s="149"/>
      <c r="AB76" s="149"/>
      <c r="AC76" s="149"/>
      <c r="AD76" s="149"/>
      <c r="AE76" s="149"/>
      <c r="AF76" s="149"/>
      <c r="AG76" s="149"/>
    </row>
    <row r="77" spans="2:33" hidden="1" outlineLevel="1" x14ac:dyDescent="0.2">
      <c r="B77" s="149"/>
      <c r="C77" s="149"/>
      <c r="D77" s="168"/>
      <c r="E77" s="167"/>
      <c r="F77" s="167"/>
      <c r="G77" s="167"/>
      <c r="H77" s="167"/>
      <c r="I77" s="167"/>
      <c r="J77" s="167"/>
      <c r="K77" s="167"/>
      <c r="L77" s="167"/>
      <c r="M77" s="167"/>
      <c r="N77" s="167"/>
      <c r="O77" s="167"/>
      <c r="P77" s="167"/>
      <c r="Q77" s="167"/>
      <c r="R77" s="167"/>
      <c r="S77" s="167"/>
      <c r="T77" s="167"/>
      <c r="U77" s="167"/>
      <c r="V77" s="167"/>
      <c r="W77" s="167"/>
      <c r="X77" s="167"/>
      <c r="Y77" s="149"/>
      <c r="Z77" s="149"/>
      <c r="AA77" s="149"/>
      <c r="AB77" s="149"/>
      <c r="AC77" s="149"/>
      <c r="AD77" s="149"/>
      <c r="AE77" s="149"/>
      <c r="AF77" s="149"/>
      <c r="AG77" s="149"/>
    </row>
    <row r="78" spans="2:33" hidden="1" outlineLevel="1" x14ac:dyDescent="0.2">
      <c r="B78" s="160" t="s">
        <v>52</v>
      </c>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row>
    <row r="79" spans="2:33" hidden="1" outlineLevel="1" x14ac:dyDescent="0.2">
      <c r="B79" s="149" t="s">
        <v>269</v>
      </c>
      <c r="C79" s="161">
        <f>D11</f>
        <v>0.03</v>
      </c>
      <c r="D79" s="149" t="s">
        <v>81</v>
      </c>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row>
    <row r="80" spans="2:33" hidden="1" outlineLevel="1" x14ac:dyDescent="0.2">
      <c r="B80" s="149" t="s">
        <v>270</v>
      </c>
      <c r="C80" s="161">
        <f>D12</f>
        <v>0.03</v>
      </c>
      <c r="D80" s="149" t="s">
        <v>82</v>
      </c>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row>
    <row r="81" spans="2:33" hidden="1" outlineLevel="1" x14ac:dyDescent="0.2">
      <c r="B81" s="149" t="s">
        <v>271</v>
      </c>
      <c r="C81" s="163">
        <f>D13</f>
        <v>1E-3</v>
      </c>
      <c r="D81" s="149" t="s">
        <v>50</v>
      </c>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row>
    <row r="82" spans="2:33" hidden="1" outlineLevel="1" x14ac:dyDescent="0.2">
      <c r="B82" s="149"/>
      <c r="C82" s="161"/>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row>
    <row r="83" spans="2:33" hidden="1" outlineLevel="1" x14ac:dyDescent="0.2">
      <c r="B83" s="149" t="s">
        <v>50</v>
      </c>
      <c r="C83" s="296">
        <f t="shared" ref="C83:X83" si="107">$C$81*C22</f>
        <v>1.2871299999999998E-3</v>
      </c>
      <c r="D83" s="296">
        <f t="shared" si="107"/>
        <v>1.9466850000000003E-3</v>
      </c>
      <c r="E83" s="296">
        <f t="shared" si="107"/>
        <v>2.8949456249999996E-3</v>
      </c>
      <c r="F83" s="296">
        <f t="shared" si="107"/>
        <v>4.2320782968749996E-3</v>
      </c>
      <c r="G83" s="296">
        <f t="shared" si="107"/>
        <v>6.0622097463281233E-3</v>
      </c>
      <c r="H83" s="296">
        <f t="shared" si="107"/>
        <v>8.521622774437498E-3</v>
      </c>
      <c r="I83" s="296">
        <f t="shared" si="107"/>
        <v>1.1764136849308588E-2</v>
      </c>
      <c r="J83" s="296">
        <f t="shared" si="107"/>
        <v>1.5944907218083584E-2</v>
      </c>
      <c r="K83" s="296">
        <f t="shared" si="107"/>
        <v>2.1181231583012952E-2</v>
      </c>
      <c r="L83" s="296">
        <f t="shared" si="107"/>
        <v>2.7590137536510843E-2</v>
      </c>
      <c r="M83" s="296">
        <f t="shared" si="107"/>
        <v>3.5246959369258674E-2</v>
      </c>
      <c r="N83" s="296">
        <f t="shared" si="107"/>
        <v>4.4145616724332551E-2</v>
      </c>
      <c r="O83" s="296">
        <f t="shared" si="107"/>
        <v>5.4145900555145919E-2</v>
      </c>
      <c r="P83" s="296">
        <f t="shared" si="107"/>
        <v>6.5040523193464761E-2</v>
      </c>
      <c r="Q83" s="296">
        <f t="shared" si="107"/>
        <v>7.8127158864905316E-2</v>
      </c>
      <c r="R83" s="296">
        <f t="shared" si="107"/>
        <v>9.384234038959792E-2</v>
      </c>
      <c r="S83" s="296">
        <f t="shared" si="107"/>
        <v>0.11268081327385254</v>
      </c>
      <c r="T83" s="296">
        <f t="shared" si="107"/>
        <v>0.13528159574985535</v>
      </c>
      <c r="U83" s="296">
        <f t="shared" si="107"/>
        <v>0.16242321306385307</v>
      </c>
      <c r="V83" s="296">
        <f t="shared" si="107"/>
        <v>0.19500090821919822</v>
      </c>
      <c r="W83" s="296">
        <f t="shared" si="107"/>
        <v>0.23407925399880047</v>
      </c>
      <c r="X83" s="296">
        <f t="shared" si="107"/>
        <v>0.28096210262921428</v>
      </c>
      <c r="Y83" s="149"/>
      <c r="Z83" s="149"/>
      <c r="AA83" s="149"/>
      <c r="AB83" s="149"/>
      <c r="AC83" s="149"/>
      <c r="AD83" s="149"/>
      <c r="AE83" s="149"/>
      <c r="AF83" s="149"/>
      <c r="AG83" s="149"/>
    </row>
    <row r="84" spans="2:33" hidden="1" outlineLevel="1" x14ac:dyDescent="0.2">
      <c r="B84" s="149" t="s">
        <v>42</v>
      </c>
      <c r="C84" s="169">
        <f t="shared" ref="C84:X84" si="108">$C$79*C23</f>
        <v>0.48</v>
      </c>
      <c r="D84" s="169">
        <f t="shared" si="108"/>
        <v>0.504</v>
      </c>
      <c r="E84" s="169">
        <f t="shared" si="108"/>
        <v>0.5292</v>
      </c>
      <c r="F84" s="169">
        <f t="shared" si="108"/>
        <v>0.55566000000000004</v>
      </c>
      <c r="G84" s="169">
        <f t="shared" si="108"/>
        <v>0.58344300000000004</v>
      </c>
      <c r="H84" s="169">
        <f t="shared" si="108"/>
        <v>0.61261515000000011</v>
      </c>
      <c r="I84" s="169">
        <f t="shared" si="108"/>
        <v>0.64324590750000021</v>
      </c>
      <c r="J84" s="169">
        <f t="shared" si="108"/>
        <v>0.67540820287500014</v>
      </c>
      <c r="K84" s="169">
        <f t="shared" si="108"/>
        <v>0.70917861301875018</v>
      </c>
      <c r="L84" s="169">
        <f t="shared" si="108"/>
        <v>0.74463754366968771</v>
      </c>
      <c r="M84" s="169">
        <f t="shared" si="108"/>
        <v>0.78186942085317213</v>
      </c>
      <c r="N84" s="169">
        <f t="shared" si="108"/>
        <v>0.82096289189583083</v>
      </c>
      <c r="O84" s="169">
        <f t="shared" si="108"/>
        <v>0.86201103649062238</v>
      </c>
      <c r="P84" s="169">
        <f t="shared" si="108"/>
        <v>0.90511158831515359</v>
      </c>
      <c r="Q84" s="169">
        <f t="shared" si="108"/>
        <v>0.95036716773091134</v>
      </c>
      <c r="R84" s="169">
        <f t="shared" si="108"/>
        <v>0.99788552611745696</v>
      </c>
      <c r="S84" s="169">
        <f t="shared" si="108"/>
        <v>1.0477798024233298</v>
      </c>
      <c r="T84" s="169">
        <f t="shared" si="108"/>
        <v>1.1001687925444965</v>
      </c>
      <c r="U84" s="169">
        <f t="shared" si="108"/>
        <v>1.1551772321717213</v>
      </c>
      <c r="V84" s="169">
        <f t="shared" si="108"/>
        <v>1.2129360937803073</v>
      </c>
      <c r="W84" s="169">
        <f t="shared" si="108"/>
        <v>1.2735828984693229</v>
      </c>
      <c r="X84" s="169">
        <f t="shared" si="108"/>
        <v>1.3372620433927891</v>
      </c>
      <c r="Y84" s="149"/>
      <c r="Z84" s="149"/>
      <c r="AA84" s="149"/>
      <c r="AB84" s="149"/>
      <c r="AC84" s="149"/>
      <c r="AD84" s="149"/>
      <c r="AE84" s="149"/>
      <c r="AF84" s="149"/>
      <c r="AG84" s="149"/>
    </row>
    <row r="85" spans="2:33" hidden="1" outlineLevel="1" x14ac:dyDescent="0.2">
      <c r="B85" s="149" t="s">
        <v>44</v>
      </c>
      <c r="C85" s="169">
        <f t="shared" ref="C85:X85" si="109">$C$79*C24</f>
        <v>0.54</v>
      </c>
      <c r="D85" s="169">
        <f t="shared" si="109"/>
        <v>0.58860000000000001</v>
      </c>
      <c r="E85" s="169">
        <f t="shared" si="109"/>
        <v>0.64157400000000009</v>
      </c>
      <c r="F85" s="169">
        <f t="shared" si="109"/>
        <v>0.69931566000000012</v>
      </c>
      <c r="G85" s="169">
        <f t="shared" si="109"/>
        <v>0.76225406940000029</v>
      </c>
      <c r="H85" s="169">
        <f t="shared" si="109"/>
        <v>0.83085693564600027</v>
      </c>
      <c r="I85" s="169">
        <f t="shared" si="109"/>
        <v>0.90563405985414047</v>
      </c>
      <c r="J85" s="169">
        <f t="shared" si="109"/>
        <v>0.98714112524101316</v>
      </c>
      <c r="K85" s="169">
        <f t="shared" si="109"/>
        <v>1.0759838265127044</v>
      </c>
      <c r="L85" s="169">
        <f t="shared" si="109"/>
        <v>1.1728223708988479</v>
      </c>
      <c r="M85" s="169">
        <f t="shared" si="109"/>
        <v>1.2783763842797444</v>
      </c>
      <c r="N85" s="169">
        <f t="shared" si="109"/>
        <v>1.3934302588649214</v>
      </c>
      <c r="O85" s="169">
        <f t="shared" si="109"/>
        <v>1.5188389821627644</v>
      </c>
      <c r="P85" s="169">
        <f t="shared" si="109"/>
        <v>1.6555344905574132</v>
      </c>
      <c r="Q85" s="169">
        <f t="shared" si="109"/>
        <v>1.8045325947075805</v>
      </c>
      <c r="R85" s="169">
        <f t="shared" si="109"/>
        <v>1.9669405282312631</v>
      </c>
      <c r="S85" s="169">
        <f t="shared" si="109"/>
        <v>2.143965175772077</v>
      </c>
      <c r="T85" s="169">
        <f t="shared" si="109"/>
        <v>2.3369220415915644</v>
      </c>
      <c r="U85" s="169">
        <f t="shared" si="109"/>
        <v>2.5472450253348056</v>
      </c>
      <c r="V85" s="169">
        <f t="shared" si="109"/>
        <v>2.776497077614938</v>
      </c>
      <c r="W85" s="169">
        <f t="shared" si="109"/>
        <v>3.0263818146002825</v>
      </c>
      <c r="X85" s="169">
        <f t="shared" si="109"/>
        <v>3.2987561779143082</v>
      </c>
      <c r="Y85" s="149"/>
      <c r="Z85" s="149"/>
      <c r="AA85" s="149"/>
      <c r="AB85" s="149"/>
      <c r="AC85" s="149"/>
      <c r="AD85" s="149"/>
      <c r="AE85" s="149"/>
      <c r="AF85" s="149"/>
      <c r="AG85" s="149"/>
    </row>
    <row r="86" spans="2:33" hidden="1" outlineLevel="1" x14ac:dyDescent="0.2">
      <c r="B86" s="149" t="s">
        <v>46</v>
      </c>
      <c r="C86" s="169">
        <f t="shared" ref="C86:X86" si="110">$C$79*C25</f>
        <v>3.4499999999999997</v>
      </c>
      <c r="D86" s="169">
        <f t="shared" si="110"/>
        <v>3.7950000000000004</v>
      </c>
      <c r="E86" s="169">
        <f t="shared" si="110"/>
        <v>4.174500000000001</v>
      </c>
      <c r="F86" s="169">
        <f t="shared" si="110"/>
        <v>4.5919500000000015</v>
      </c>
      <c r="G86" s="169">
        <f t="shared" si="110"/>
        <v>5.0511450000000027</v>
      </c>
      <c r="H86" s="169">
        <f t="shared" si="110"/>
        <v>5.556259500000003</v>
      </c>
      <c r="I86" s="169">
        <f t="shared" si="110"/>
        <v>6.1118854500000035</v>
      </c>
      <c r="J86" s="169">
        <f t="shared" si="110"/>
        <v>6.7230739950000045</v>
      </c>
      <c r="K86" s="169">
        <f t="shared" si="110"/>
        <v>7.3953813945000055</v>
      </c>
      <c r="L86" s="169">
        <f t="shared" si="110"/>
        <v>8.134919533950006</v>
      </c>
      <c r="M86" s="169">
        <f t="shared" si="110"/>
        <v>8.9484114873450089</v>
      </c>
      <c r="N86" s="169">
        <f t="shared" si="110"/>
        <v>9.8432526360795105</v>
      </c>
      <c r="O86" s="169">
        <f t="shared" si="110"/>
        <v>10.827577899687462</v>
      </c>
      <c r="P86" s="169">
        <f t="shared" si="110"/>
        <v>11.910335689656209</v>
      </c>
      <c r="Q86" s="169">
        <f t="shared" si="110"/>
        <v>13.10136925862183</v>
      </c>
      <c r="R86" s="169">
        <f t="shared" si="110"/>
        <v>14.411506184484015</v>
      </c>
      <c r="S86" s="169">
        <f t="shared" si="110"/>
        <v>15.852656802932419</v>
      </c>
      <c r="T86" s="169">
        <f t="shared" si="110"/>
        <v>17.437922483225663</v>
      </c>
      <c r="U86" s="169">
        <f t="shared" si="110"/>
        <v>19.181714731548229</v>
      </c>
      <c r="V86" s="169">
        <f t="shared" si="110"/>
        <v>21.099886204703054</v>
      </c>
      <c r="W86" s="169">
        <f t="shared" si="110"/>
        <v>23.209874825173362</v>
      </c>
      <c r="X86" s="169">
        <f t="shared" si="110"/>
        <v>25.5308623076907</v>
      </c>
      <c r="Y86" s="149"/>
      <c r="Z86" s="149"/>
      <c r="AA86" s="149"/>
      <c r="AB86" s="149"/>
      <c r="AC86" s="149"/>
      <c r="AD86" s="149"/>
      <c r="AE86" s="149"/>
      <c r="AF86" s="149"/>
      <c r="AG86" s="149"/>
    </row>
    <row r="87" spans="2:33" hidden="1" outlineLevel="1" x14ac:dyDescent="0.2">
      <c r="B87" s="149" t="s">
        <v>49</v>
      </c>
      <c r="C87" s="169">
        <f t="shared" ref="C87:X87" si="111">$C$79*C26</f>
        <v>9.9</v>
      </c>
      <c r="D87" s="169">
        <f t="shared" si="111"/>
        <v>10.593</v>
      </c>
      <c r="E87" s="169">
        <f t="shared" si="111"/>
        <v>11.334510000000002</v>
      </c>
      <c r="F87" s="169">
        <f t="shared" si="111"/>
        <v>12.127925700000002</v>
      </c>
      <c r="G87" s="169">
        <f t="shared" si="111"/>
        <v>12.976880499000004</v>
      </c>
      <c r="H87" s="169">
        <f t="shared" si="111"/>
        <v>13.885262133930004</v>
      </c>
      <c r="I87" s="169">
        <f t="shared" si="111"/>
        <v>14.857230483305104</v>
      </c>
      <c r="J87" s="169">
        <f t="shared" si="111"/>
        <v>15.897236617136461</v>
      </c>
      <c r="K87" s="169">
        <f t="shared" si="111"/>
        <v>17.010043180336016</v>
      </c>
      <c r="L87" s="169">
        <f t="shared" si="111"/>
        <v>18.200746202959539</v>
      </c>
      <c r="M87" s="169">
        <f t="shared" si="111"/>
        <v>19.474798437166708</v>
      </c>
      <c r="N87" s="169">
        <f t="shared" si="111"/>
        <v>20.83803432776838</v>
      </c>
      <c r="O87" s="169">
        <f t="shared" si="111"/>
        <v>22.296696730712167</v>
      </c>
      <c r="P87" s="169">
        <f t="shared" si="111"/>
        <v>23.85746550186202</v>
      </c>
      <c r="Q87" s="169">
        <f t="shared" si="111"/>
        <v>25.527488086992367</v>
      </c>
      <c r="R87" s="169">
        <f t="shared" si="111"/>
        <v>27.314412253081834</v>
      </c>
      <c r="S87" s="169">
        <f t="shared" si="111"/>
        <v>29.22642111079756</v>
      </c>
      <c r="T87" s="169">
        <f t="shared" si="111"/>
        <v>31.27227058855339</v>
      </c>
      <c r="U87" s="169">
        <f t="shared" si="111"/>
        <v>33.461329529752128</v>
      </c>
      <c r="V87" s="169">
        <f t="shared" si="111"/>
        <v>35.803622596834778</v>
      </c>
      <c r="W87" s="169">
        <f t="shared" si="111"/>
        <v>38.309876178613216</v>
      </c>
      <c r="X87" s="169">
        <f t="shared" si="111"/>
        <v>40.991567511116145</v>
      </c>
      <c r="Y87" s="149"/>
      <c r="Z87" s="149"/>
      <c r="AA87" s="149"/>
      <c r="AB87" s="149"/>
      <c r="AC87" s="149"/>
      <c r="AD87" s="149"/>
      <c r="AE87" s="149"/>
      <c r="AF87" s="149"/>
      <c r="AG87" s="149"/>
    </row>
    <row r="88" spans="2:33" hidden="1" outlineLevel="1" x14ac:dyDescent="0.2">
      <c r="B88" s="149" t="s">
        <v>51</v>
      </c>
      <c r="C88" s="169">
        <f t="shared" ref="C88:X88" si="112">$C$80*C27</f>
        <v>9</v>
      </c>
      <c r="D88" s="169">
        <f t="shared" si="112"/>
        <v>9.4499999999999993</v>
      </c>
      <c r="E88" s="169">
        <f t="shared" si="112"/>
        <v>9.9224999999999994</v>
      </c>
      <c r="F88" s="169">
        <f t="shared" si="112"/>
        <v>10.418625</v>
      </c>
      <c r="G88" s="169">
        <f t="shared" si="112"/>
        <v>10.939556250000001</v>
      </c>
      <c r="H88" s="169">
        <f t="shared" si="112"/>
        <v>11.486534062500001</v>
      </c>
      <c r="I88" s="169">
        <f t="shared" si="112"/>
        <v>12.060860765625003</v>
      </c>
      <c r="J88" s="169">
        <f t="shared" si="112"/>
        <v>12.663903803906253</v>
      </c>
      <c r="K88" s="169">
        <f t="shared" si="112"/>
        <v>13.297098994101566</v>
      </c>
      <c r="L88" s="169">
        <f t="shared" si="112"/>
        <v>13.961953943806643</v>
      </c>
      <c r="M88" s="169">
        <f t="shared" si="112"/>
        <v>14.660051640996977</v>
      </c>
      <c r="N88" s="169">
        <f t="shared" si="112"/>
        <v>15.393054223046827</v>
      </c>
      <c r="O88" s="169">
        <f t="shared" si="112"/>
        <v>16.162706934199171</v>
      </c>
      <c r="P88" s="169">
        <f t="shared" si="112"/>
        <v>16.970842280909132</v>
      </c>
      <c r="Q88" s="169">
        <f t="shared" si="112"/>
        <v>17.819384394954589</v>
      </c>
      <c r="R88" s="169">
        <f t="shared" si="112"/>
        <v>18.710353614702321</v>
      </c>
      <c r="S88" s="169">
        <f t="shared" si="112"/>
        <v>19.645871295437438</v>
      </c>
      <c r="T88" s="169">
        <f t="shared" si="112"/>
        <v>20.62816486020931</v>
      </c>
      <c r="U88" s="169">
        <f t="shared" si="112"/>
        <v>21.659573103219774</v>
      </c>
      <c r="V88" s="169">
        <f t="shared" si="112"/>
        <v>22.742551758380763</v>
      </c>
      <c r="W88" s="169">
        <f t="shared" si="112"/>
        <v>23.879679346299802</v>
      </c>
      <c r="X88" s="169">
        <f t="shared" si="112"/>
        <v>25.073663313614794</v>
      </c>
      <c r="Y88" s="149"/>
      <c r="Z88" s="149"/>
      <c r="AA88" s="149"/>
      <c r="AB88" s="149"/>
      <c r="AC88" s="149"/>
      <c r="AD88" s="149"/>
      <c r="AE88" s="149"/>
      <c r="AF88" s="149"/>
      <c r="AG88" s="149"/>
    </row>
    <row r="89" spans="2:33" hidden="1" outlineLevel="1" x14ac:dyDescent="0.2">
      <c r="B89" s="149" t="s">
        <v>53</v>
      </c>
      <c r="C89" s="169">
        <f t="shared" ref="C89:X89" si="113">$C$80*C28</f>
        <v>3.5999999999999996</v>
      </c>
      <c r="D89" s="169">
        <f t="shared" si="113"/>
        <v>3.8519999999999999</v>
      </c>
      <c r="E89" s="169">
        <f t="shared" si="113"/>
        <v>4.1216400000000002</v>
      </c>
      <c r="F89" s="169">
        <f t="shared" si="113"/>
        <v>4.4101547999999999</v>
      </c>
      <c r="G89" s="169">
        <f t="shared" si="113"/>
        <v>4.7188656360000003</v>
      </c>
      <c r="H89" s="169">
        <f t="shared" si="113"/>
        <v>5.049186230520001</v>
      </c>
      <c r="I89" s="169">
        <f t="shared" si="113"/>
        <v>5.402629266656402</v>
      </c>
      <c r="J89" s="169">
        <f t="shared" si="113"/>
        <v>5.7808133153223498</v>
      </c>
      <c r="K89" s="169">
        <f t="shared" si="113"/>
        <v>6.1854702473949148</v>
      </c>
      <c r="L89" s="169">
        <f t="shared" si="113"/>
        <v>6.6184531647125588</v>
      </c>
      <c r="M89" s="169">
        <f t="shared" si="113"/>
        <v>7.0817448862424381</v>
      </c>
      <c r="N89" s="169">
        <f t="shared" si="113"/>
        <v>7.5774670282794094</v>
      </c>
      <c r="O89" s="169">
        <f t="shared" si="113"/>
        <v>8.107889720258969</v>
      </c>
      <c r="P89" s="169">
        <f t="shared" si="113"/>
        <v>8.675442000677096</v>
      </c>
      <c r="Q89" s="169">
        <f t="shared" si="113"/>
        <v>9.2827229407244953</v>
      </c>
      <c r="R89" s="169">
        <f t="shared" si="113"/>
        <v>9.9325135465752084</v>
      </c>
      <c r="S89" s="169">
        <f t="shared" si="113"/>
        <v>10.627789494835474</v>
      </c>
      <c r="T89" s="169">
        <f t="shared" si="113"/>
        <v>11.371734759473958</v>
      </c>
      <c r="U89" s="169">
        <f t="shared" si="113"/>
        <v>12.167756192637135</v>
      </c>
      <c r="V89" s="169">
        <f t="shared" si="113"/>
        <v>13.019499126121735</v>
      </c>
      <c r="W89" s="169">
        <f t="shared" si="113"/>
        <v>13.930864064950256</v>
      </c>
      <c r="X89" s="169">
        <f t="shared" si="113"/>
        <v>14.906024549496774</v>
      </c>
      <c r="Y89" s="149"/>
      <c r="Z89" s="149"/>
      <c r="AA89" s="149"/>
      <c r="AB89" s="149"/>
      <c r="AC89" s="149"/>
      <c r="AD89" s="149"/>
      <c r="AE89" s="149"/>
      <c r="AF89" s="149"/>
      <c r="AG89" s="149"/>
    </row>
    <row r="90" spans="2:33" hidden="1" outlineLevel="1" x14ac:dyDescent="0.2">
      <c r="B90" s="170" t="s">
        <v>83</v>
      </c>
      <c r="C90" s="171">
        <f t="shared" ref="C90:X90" si="114">SUM(C83:C89)</f>
        <v>26.97128713</v>
      </c>
      <c r="D90" s="171">
        <f t="shared" si="114"/>
        <v>28.784546684999999</v>
      </c>
      <c r="E90" s="171">
        <f t="shared" si="114"/>
        <v>30.726818945625002</v>
      </c>
      <c r="F90" s="171">
        <f t="shared" si="114"/>
        <v>32.807863238296882</v>
      </c>
      <c r="G90" s="171">
        <f t="shared" si="114"/>
        <v>35.03820666414633</v>
      </c>
      <c r="H90" s="171">
        <f t="shared" si="114"/>
        <v>37.429235635370446</v>
      </c>
      <c r="I90" s="171">
        <f t="shared" si="114"/>
        <v>39.993250069789966</v>
      </c>
      <c r="J90" s="171">
        <f t="shared" si="114"/>
        <v>42.743521966699163</v>
      </c>
      <c r="K90" s="171">
        <f t="shared" si="114"/>
        <v>45.694337487446973</v>
      </c>
      <c r="L90" s="171">
        <f t="shared" si="114"/>
        <v>48.861122897533789</v>
      </c>
      <c r="M90" s="171">
        <f t="shared" si="114"/>
        <v>52.260499216253308</v>
      </c>
      <c r="N90" s="171">
        <f t="shared" si="114"/>
        <v>55.910346982659206</v>
      </c>
      <c r="O90" s="171">
        <f t="shared" si="114"/>
        <v>59.829867204066296</v>
      </c>
      <c r="P90" s="171">
        <f t="shared" si="114"/>
        <v>64.03977207517049</v>
      </c>
      <c r="Q90" s="171">
        <f t="shared" si="114"/>
        <v>68.563991602596673</v>
      </c>
      <c r="R90" s="171">
        <f t="shared" si="114"/>
        <v>73.427453993581707</v>
      </c>
      <c r="S90" s="171">
        <f t="shared" si="114"/>
        <v>78.657164495472145</v>
      </c>
      <c r="T90" s="171">
        <f t="shared" si="114"/>
        <v>84.282465121348224</v>
      </c>
      <c r="U90" s="171">
        <f t="shared" si="114"/>
        <v>90.335219027727646</v>
      </c>
      <c r="V90" s="171">
        <f t="shared" si="114"/>
        <v>96.849993765654773</v>
      </c>
      <c r="W90" s="171">
        <f t="shared" si="114"/>
        <v>103.86433838210503</v>
      </c>
      <c r="X90" s="171">
        <f t="shared" si="114"/>
        <v>111.41909800585472</v>
      </c>
      <c r="Y90" s="149"/>
      <c r="Z90" s="149"/>
      <c r="AA90" s="149"/>
      <c r="AB90" s="149"/>
      <c r="AC90" s="149"/>
      <c r="AD90" s="149"/>
      <c r="AE90" s="149"/>
      <c r="AF90" s="149"/>
      <c r="AG90" s="149"/>
    </row>
    <row r="91" spans="2:33" collapsed="1" x14ac:dyDescent="0.2"/>
  </sheetData>
  <mergeCells count="6">
    <mergeCell ref="AJ3:AR3"/>
    <mergeCell ref="B39:AG39"/>
    <mergeCell ref="Z16:AD16"/>
    <mergeCell ref="AF16:AG16"/>
    <mergeCell ref="B3:AG3"/>
    <mergeCell ref="B15:AG15"/>
  </mergeCells>
  <dataValidations count="2">
    <dataValidation allowBlank="1" showInputMessage="1" showErrorMessage="1" sqref="E11 D11:D13" xr:uid="{97D74060-45AC-4633-8A3E-613DC3213B92}"/>
    <dataValidation type="list" allowBlank="1" showInputMessage="1" showErrorMessage="1" sqref="AL4" xr:uid="{AE5379CC-5B2E-4730-9D3E-C0EC085AFF84}">
      <formula1>$C$17:$X$17</formula1>
    </dataValidation>
  </dataValidations>
  <hyperlinks>
    <hyperlink ref="C4" location="SelectedCase" display="SelectedCase" xr:uid="{B99EC4A9-AADB-4F6F-A6C7-C52516ABE01B}"/>
  </hyperlinks>
  <pageMargins left="0.7" right="0.7" top="0.75" bottom="0.75" header="0.3" footer="0.3"/>
  <pageSetup scale="62" orientation="landscape" r:id="rId1"/>
  <ignoredErrors>
    <ignoredError sqref="D31:X31 D33:X33"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85320-37FC-4E74-A83C-D6BF7028E67E}">
  <sheetPr codeName="Sheet6">
    <tabColor theme="5" tint="0.79998168889431442"/>
    <pageSetUpPr fitToPage="1"/>
  </sheetPr>
  <dimension ref="B1:AO70"/>
  <sheetViews>
    <sheetView showGridLines="0" zoomScale="140" zoomScaleNormal="140" zoomScaleSheetLayoutView="85" workbookViewId="0">
      <pane ySplit="1" topLeftCell="A2" activePane="bottomLeft" state="frozen"/>
      <selection pane="bottomLeft"/>
    </sheetView>
  </sheetViews>
  <sheetFormatPr baseColWidth="10" defaultColWidth="8.83203125" defaultRowHeight="15" outlineLevelCol="1" x14ac:dyDescent="0.2"/>
  <cols>
    <col min="1" max="1" width="0.83203125" customWidth="1"/>
    <col min="2" max="5" width="11.33203125" customWidth="1"/>
    <col min="6" max="9" width="8.5" hidden="1" customWidth="1" outlineLevel="1"/>
    <col min="10" max="10" width="11.33203125" customWidth="1" collapsed="1"/>
    <col min="11" max="12" width="8.5" hidden="1" customWidth="1" outlineLevel="1"/>
    <col min="13" max="14" width="9.6640625" hidden="1" customWidth="1" outlineLevel="1"/>
    <col min="15" max="15" width="11.33203125" customWidth="1" collapsed="1"/>
    <col min="16" max="19" width="9.6640625" hidden="1" customWidth="1" outlineLevel="1"/>
    <col min="20" max="20" width="11.33203125" customWidth="1" collapsed="1"/>
    <col min="21" max="22" width="9.6640625" hidden="1" customWidth="1" outlineLevel="1"/>
    <col min="23" max="24" width="10.83203125" hidden="1" customWidth="1" outlineLevel="1"/>
    <col min="25" max="25" width="11.33203125" customWidth="1" collapsed="1"/>
    <col min="26" max="26" width="1.6640625" customWidth="1"/>
    <col min="27" max="27" width="10.83203125" hidden="1" customWidth="1" outlineLevel="1"/>
    <col min="28" max="30" width="11.33203125" hidden="1" customWidth="1" outlineLevel="1"/>
    <col min="31" max="31" width="11.33203125" customWidth="1" collapsed="1"/>
    <col min="32" max="32" width="1.6640625" customWidth="1"/>
    <col min="33" max="34" width="8.83203125" customWidth="1"/>
    <col min="35" max="35" width="0.83203125" customWidth="1"/>
    <col min="36" max="36" width="1.6640625" customWidth="1"/>
    <col min="37" max="42" width="11.33203125" customWidth="1"/>
    <col min="43" max="43" width="8.83203125" customWidth="1"/>
  </cols>
  <sheetData>
    <row r="1" spans="2:41" ht="27" x14ac:dyDescent="0.35">
      <c r="B1" s="267" t="s">
        <v>20</v>
      </c>
      <c r="C1" s="267"/>
      <c r="D1" s="292" t="s">
        <v>84</v>
      </c>
      <c r="E1" s="147"/>
      <c r="F1" s="268"/>
      <c r="G1" s="268"/>
      <c r="H1" s="268"/>
      <c r="I1" s="268"/>
      <c r="J1" s="268"/>
      <c r="K1" s="147"/>
      <c r="L1" s="147"/>
      <c r="M1" s="147"/>
      <c r="N1" s="147"/>
      <c r="O1" s="271" t="s">
        <v>85</v>
      </c>
      <c r="P1" s="147"/>
      <c r="Q1" s="147"/>
      <c r="R1" s="147"/>
      <c r="S1" s="147"/>
      <c r="T1" s="197" t="s">
        <v>7</v>
      </c>
      <c r="U1" s="147"/>
      <c r="V1" s="147"/>
      <c r="W1" s="147"/>
      <c r="X1" s="147"/>
      <c r="Y1" s="147"/>
      <c r="Z1" s="147"/>
      <c r="AA1" s="147"/>
      <c r="AB1" s="147"/>
      <c r="AC1" s="147"/>
      <c r="AD1" s="147"/>
      <c r="AE1" s="272" t="s">
        <v>86</v>
      </c>
      <c r="AF1" s="270"/>
      <c r="AG1" s="276" t="str">
        <f>SelectedCase</f>
        <v>Base</v>
      </c>
      <c r="AH1" s="147"/>
      <c r="AI1" s="147"/>
      <c r="AJ1" s="147"/>
      <c r="AK1" s="147"/>
      <c r="AL1" s="147"/>
      <c r="AM1" s="147"/>
      <c r="AN1" s="147"/>
      <c r="AO1" s="147"/>
    </row>
    <row r="2" spans="2:41" ht="4" customHeight="1" x14ac:dyDescent="0.2"/>
    <row r="3" spans="2:41" ht="16" x14ac:dyDescent="0.2">
      <c r="B3" s="315" t="s">
        <v>21</v>
      </c>
      <c r="C3" s="315"/>
      <c r="D3" s="315"/>
      <c r="E3" s="315"/>
      <c r="F3" s="315"/>
      <c r="G3" s="315"/>
      <c r="H3" s="315"/>
      <c r="I3" s="315"/>
      <c r="J3" s="315"/>
      <c r="K3" s="315"/>
      <c r="L3" s="315"/>
      <c r="M3" s="315"/>
      <c r="N3" s="315"/>
      <c r="O3" s="315"/>
      <c r="P3" s="315"/>
      <c r="Q3" s="315"/>
      <c r="R3" s="315"/>
      <c r="S3" s="315"/>
      <c r="T3" s="315"/>
      <c r="U3" s="315"/>
      <c r="V3" s="315"/>
      <c r="W3" s="315"/>
      <c r="X3" s="315"/>
      <c r="Y3" s="315"/>
      <c r="Z3" s="315"/>
      <c r="AA3" s="315"/>
      <c r="AB3" s="315"/>
      <c r="AC3" s="315"/>
      <c r="AD3" s="315"/>
      <c r="AE3" s="315"/>
      <c r="AF3" s="315"/>
      <c r="AG3" s="315"/>
      <c r="AH3" s="315"/>
      <c r="AK3" s="315" t="s">
        <v>87</v>
      </c>
      <c r="AL3" s="315"/>
      <c r="AM3" s="315"/>
      <c r="AN3" s="315"/>
      <c r="AO3" s="315"/>
    </row>
    <row r="4" spans="2:41" ht="15" customHeight="1" x14ac:dyDescent="0.2">
      <c r="B4" t="s">
        <v>88</v>
      </c>
      <c r="D4" s="184">
        <v>0</v>
      </c>
      <c r="J4" s="183" t="s">
        <v>89</v>
      </c>
      <c r="Y4" t="s">
        <v>90</v>
      </c>
      <c r="AE4" s="173">
        <f>50%*O6*D5</f>
        <v>250</v>
      </c>
      <c r="AK4" s="185" t="s">
        <v>35</v>
      </c>
      <c r="AL4" s="195" t="s">
        <v>91</v>
      </c>
      <c r="AM4" s="195" t="s">
        <v>92</v>
      </c>
      <c r="AN4" s="195" t="s">
        <v>93</v>
      </c>
      <c r="AO4" s="186" t="s">
        <v>94</v>
      </c>
    </row>
    <row r="5" spans="2:41" ht="15" customHeight="1" x14ac:dyDescent="0.2">
      <c r="B5" t="s">
        <v>95</v>
      </c>
      <c r="D5" s="173">
        <v>1000</v>
      </c>
      <c r="J5" s="48" t="s">
        <v>46</v>
      </c>
      <c r="O5" s="104">
        <v>0.3</v>
      </c>
      <c r="Y5" t="s">
        <v>96</v>
      </c>
      <c r="AE5" s="104">
        <v>0.05</v>
      </c>
      <c r="AK5" s="11">
        <v>2024</v>
      </c>
      <c r="AL5" s="191">
        <f t="shared" ref="AL5:AL26" si="0">HLOOKUP($AK5,$D$19:$Y$33,13)/10^3</f>
        <v>1.25</v>
      </c>
      <c r="AM5" s="191">
        <f t="shared" ref="AM5:AM26" si="1">HLOOKUP($AK5,$D$19:$Y$33,14)/10^3</f>
        <v>-0.5</v>
      </c>
      <c r="AN5" s="191">
        <f t="shared" ref="AN5:AN26" si="2">HLOOKUP($AK5,$D$19:$Y$33,15)/10^3</f>
        <v>0.75</v>
      </c>
      <c r="AO5" s="193">
        <f t="shared" ref="AO5:AO26" si="3">HLOOKUP($AK5,$D$19:$Y$33,5)</f>
        <v>11.538461538461538</v>
      </c>
    </row>
    <row r="6" spans="2:41" x14ac:dyDescent="0.2">
      <c r="J6" s="48" t="s">
        <v>49</v>
      </c>
      <c r="O6" s="104">
        <v>0.5</v>
      </c>
      <c r="AK6" s="188">
        <f t="shared" ref="AK6:AK26" si="4">AK5+1</f>
        <v>2025</v>
      </c>
      <c r="AL6" s="192">
        <f t="shared" si="0"/>
        <v>1.7545098039215685</v>
      </c>
      <c r="AM6" s="192">
        <f t="shared" si="1"/>
        <v>-0.52500000000000002</v>
      </c>
      <c r="AN6" s="192">
        <f t="shared" si="2"/>
        <v>1.2295098039215686</v>
      </c>
      <c r="AO6" s="194">
        <f t="shared" si="3"/>
        <v>12.615384615384615</v>
      </c>
    </row>
    <row r="7" spans="2:41" x14ac:dyDescent="0.2">
      <c r="B7" t="s">
        <v>97</v>
      </c>
      <c r="D7" s="173">
        <v>200</v>
      </c>
      <c r="J7" s="48" t="s">
        <v>51</v>
      </c>
      <c r="O7" s="104">
        <v>0.15</v>
      </c>
      <c r="AK7" s="11">
        <f t="shared" si="4"/>
        <v>2026</v>
      </c>
      <c r="AL7" s="191">
        <f t="shared" si="0"/>
        <v>2.4747210688196848</v>
      </c>
      <c r="AM7" s="191">
        <f t="shared" si="1"/>
        <v>-0.55125000000000002</v>
      </c>
      <c r="AN7" s="191">
        <f t="shared" si="2"/>
        <v>1.9234710688196848</v>
      </c>
      <c r="AO7" s="193">
        <f t="shared" si="3"/>
        <v>13.382007822685788</v>
      </c>
    </row>
    <row r="8" spans="2:41" x14ac:dyDescent="0.2">
      <c r="B8" t="s">
        <v>98</v>
      </c>
      <c r="D8" s="104">
        <v>0.05</v>
      </c>
      <c r="J8" s="48" t="s">
        <v>53</v>
      </c>
      <c r="O8" s="104">
        <v>0.05</v>
      </c>
      <c r="AK8" s="11">
        <f t="shared" si="4"/>
        <v>2027</v>
      </c>
      <c r="AL8" s="191">
        <f t="shared" si="0"/>
        <v>3.4834801898402574</v>
      </c>
      <c r="AM8" s="191">
        <f t="shared" si="1"/>
        <v>-0.57881249999999995</v>
      </c>
      <c r="AN8" s="191">
        <f t="shared" si="2"/>
        <v>2.9046676898402577</v>
      </c>
      <c r="AO8" s="193">
        <f t="shared" si="3"/>
        <v>13.93714876590388</v>
      </c>
    </row>
    <row r="9" spans="2:41" x14ac:dyDescent="0.2">
      <c r="B9" t="s">
        <v>99</v>
      </c>
      <c r="D9" s="104">
        <v>0.4</v>
      </c>
      <c r="J9" s="21" t="s">
        <v>58</v>
      </c>
      <c r="O9" s="22">
        <f>SUM(O5:O8)</f>
        <v>1</v>
      </c>
      <c r="AK9" s="11">
        <f t="shared" si="4"/>
        <v>2028</v>
      </c>
      <c r="AL9" s="191">
        <f t="shared" si="0"/>
        <v>4.868496761646151</v>
      </c>
      <c r="AM9" s="191">
        <f t="shared" si="1"/>
        <v>-0.60775312500000012</v>
      </c>
      <c r="AN9" s="191">
        <f t="shared" si="2"/>
        <v>4.2607436366461506</v>
      </c>
      <c r="AO9" s="193">
        <f t="shared" si="3"/>
        <v>14.346199987222473</v>
      </c>
    </row>
    <row r="10" spans="2:41" x14ac:dyDescent="0.2">
      <c r="O10" s="9"/>
      <c r="AA10" t="s">
        <v>100</v>
      </c>
      <c r="AK10" s="11">
        <f t="shared" si="4"/>
        <v>2029</v>
      </c>
      <c r="AL10" s="191">
        <f t="shared" si="0"/>
        <v>6.7310097511876288</v>
      </c>
      <c r="AM10" s="191">
        <f t="shared" si="1"/>
        <v>-0.63814078125000018</v>
      </c>
      <c r="AN10" s="191">
        <f t="shared" si="2"/>
        <v>6.0928689699376282</v>
      </c>
      <c r="AO10" s="193">
        <f t="shared" si="3"/>
        <v>14.652988403211419</v>
      </c>
    </row>
    <row r="11" spans="2:41" x14ac:dyDescent="0.2">
      <c r="E11" s="35" t="s">
        <v>3</v>
      </c>
      <c r="G11" s="35"/>
      <c r="H11" s="35"/>
      <c r="J11" s="35" t="s">
        <v>4</v>
      </c>
      <c r="L11" s="35"/>
      <c r="M11" s="35"/>
      <c r="N11" s="35"/>
      <c r="O11" s="35" t="s">
        <v>5</v>
      </c>
      <c r="T11" s="35" t="s">
        <v>6</v>
      </c>
      <c r="Y11" s="35" t="s">
        <v>7</v>
      </c>
      <c r="AA11" t="str">
        <f>T1</f>
        <v>Triple Maxi</v>
      </c>
      <c r="AK11" s="188">
        <f t="shared" si="4"/>
        <v>2030</v>
      </c>
      <c r="AL11" s="192">
        <f t="shared" si="0"/>
        <v>9.182095932878811</v>
      </c>
      <c r="AM11" s="192">
        <f t="shared" si="1"/>
        <v>-0.67004782031250021</v>
      </c>
      <c r="AN11" s="192">
        <f t="shared" si="2"/>
        <v>8.5120481125663101</v>
      </c>
      <c r="AO11" s="194">
        <f t="shared" si="3"/>
        <v>14.887263193602976</v>
      </c>
    </row>
    <row r="12" spans="2:41" x14ac:dyDescent="0.2">
      <c r="B12" t="s">
        <v>101</v>
      </c>
      <c r="E12" s="104">
        <v>0</v>
      </c>
      <c r="G12" s="35"/>
      <c r="H12" s="35"/>
      <c r="J12" s="104">
        <v>0.1</v>
      </c>
      <c r="L12" s="35"/>
      <c r="M12" s="35"/>
      <c r="N12" s="35"/>
      <c r="O12" s="104">
        <v>0.8</v>
      </c>
      <c r="T12" s="104">
        <v>1</v>
      </c>
      <c r="Y12" s="104">
        <v>1</v>
      </c>
      <c r="AA12" s="203">
        <f>INDEX($B$11:$Y$15,MATCH(B12,$B$11:$B$15,0),MATCH($AA$11,$B$11:$Y$11,0))</f>
        <v>1</v>
      </c>
      <c r="AK12" s="11">
        <f t="shared" si="4"/>
        <v>2031</v>
      </c>
      <c r="AL12" s="191">
        <f t="shared" si="0"/>
        <v>12.33599547288742</v>
      </c>
      <c r="AM12" s="191">
        <f t="shared" si="1"/>
        <v>-0.70355021132812523</v>
      </c>
      <c r="AN12" s="191">
        <f t="shared" si="2"/>
        <v>11.632445261559294</v>
      </c>
      <c r="AO12" s="193">
        <f t="shared" si="3"/>
        <v>15.069476919463078</v>
      </c>
    </row>
    <row r="13" spans="2:41" x14ac:dyDescent="0.2">
      <c r="B13" t="s">
        <v>102</v>
      </c>
      <c r="E13" s="104">
        <v>0</v>
      </c>
      <c r="G13" s="35"/>
      <c r="H13" s="35"/>
      <c r="J13" s="104">
        <v>0.1</v>
      </c>
      <c r="L13" s="35"/>
      <c r="M13" s="35"/>
      <c r="N13" s="35"/>
      <c r="O13" s="104">
        <v>0.8</v>
      </c>
      <c r="T13" s="104">
        <v>1</v>
      </c>
      <c r="Y13" s="104">
        <v>1</v>
      </c>
      <c r="AA13" s="203">
        <f>INDEX($B$11:$Y$15,MATCH(B13,$B$11:$B$15,0),MATCH($AA$11,$B$11:$Y$11,0))</f>
        <v>1</v>
      </c>
      <c r="AK13" s="11">
        <f t="shared" si="4"/>
        <v>2032</v>
      </c>
      <c r="AL13" s="191">
        <f t="shared" si="0"/>
        <v>16.300038992706057</v>
      </c>
      <c r="AM13" s="191">
        <f t="shared" si="1"/>
        <v>-0.73872772189453151</v>
      </c>
      <c r="AN13" s="191">
        <f t="shared" si="2"/>
        <v>15.561311270811526</v>
      </c>
      <c r="AO13" s="193">
        <f t="shared" si="3"/>
        <v>15.213872702220138</v>
      </c>
    </row>
    <row r="14" spans="2:41" x14ac:dyDescent="0.2">
      <c r="B14" t="s">
        <v>103</v>
      </c>
      <c r="E14" s="174">
        <v>0</v>
      </c>
      <c r="G14" s="35"/>
      <c r="H14" s="35"/>
      <c r="J14" s="174">
        <v>0</v>
      </c>
      <c r="L14" s="35"/>
      <c r="M14" s="35"/>
      <c r="N14" s="35"/>
      <c r="O14" s="174">
        <v>0</v>
      </c>
      <c r="T14" s="174">
        <f>25%*$O$6*$D$5</f>
        <v>125</v>
      </c>
      <c r="Y14" s="174">
        <f>50%*$O$6*$D$5</f>
        <v>250</v>
      </c>
      <c r="AA14" s="269">
        <f>INDEX($B$11:$Y$15,MATCH(B14,$B$11:$B$15,0),MATCH($AA$11,$B$11:$Y$11,0))</f>
        <v>250</v>
      </c>
      <c r="AK14" s="11">
        <f t="shared" si="4"/>
        <v>2033</v>
      </c>
      <c r="AL14" s="191">
        <f t="shared" si="0"/>
        <v>21.161157741399052</v>
      </c>
      <c r="AM14" s="191">
        <f t="shared" si="1"/>
        <v>-0.77566410798925811</v>
      </c>
      <c r="AN14" s="191">
        <f t="shared" si="2"/>
        <v>20.385493633409794</v>
      </c>
      <c r="AO14" s="193">
        <f t="shared" si="3"/>
        <v>15.330500065216226</v>
      </c>
    </row>
    <row r="15" spans="2:41" x14ac:dyDescent="0.2">
      <c r="B15" t="s">
        <v>104</v>
      </c>
      <c r="E15" s="104">
        <v>0.25</v>
      </c>
      <c r="G15" s="35"/>
      <c r="H15" s="35"/>
      <c r="J15" s="104">
        <f>E15</f>
        <v>0.25</v>
      </c>
      <c r="L15" s="35"/>
      <c r="M15" s="35"/>
      <c r="N15" s="35"/>
      <c r="O15" s="104">
        <f>J15</f>
        <v>0.25</v>
      </c>
      <c r="T15" s="104">
        <f>O15</f>
        <v>0.25</v>
      </c>
      <c r="Y15" s="104">
        <v>0.5</v>
      </c>
      <c r="AA15" s="203">
        <f>INDEX($B$11:$Y$15,MATCH(B15,$B$11:$B$15,0),MATCH($AA$11,$B$11:$Y$11,0))</f>
        <v>0.5</v>
      </c>
      <c r="AK15" s="11">
        <f t="shared" si="4"/>
        <v>2034</v>
      </c>
      <c r="AL15" s="191">
        <f t="shared" si="0"/>
        <v>26.969548196469855</v>
      </c>
      <c r="AM15" s="191">
        <f t="shared" si="1"/>
        <v>-0.81444731338872112</v>
      </c>
      <c r="AN15" s="191">
        <f t="shared" si="2"/>
        <v>26.155100883081133</v>
      </c>
      <c r="AO15" s="193">
        <f t="shared" si="3"/>
        <v>15.426546128860062</v>
      </c>
    </row>
    <row r="16" spans="2:41" x14ac:dyDescent="0.2">
      <c r="AK16" s="188">
        <f t="shared" si="4"/>
        <v>2035</v>
      </c>
      <c r="AL16" s="192">
        <f t="shared" si="0"/>
        <v>33.720803200679505</v>
      </c>
      <c r="AM16" s="192">
        <f t="shared" si="1"/>
        <v>-0.85516967905815711</v>
      </c>
      <c r="AN16" s="192">
        <f t="shared" si="2"/>
        <v>32.865633521621348</v>
      </c>
      <c r="AO16" s="194">
        <f t="shared" si="3"/>
        <v>15.507224822320886</v>
      </c>
    </row>
    <row r="17" spans="2:41" ht="16" x14ac:dyDescent="0.2">
      <c r="B17" s="315" t="s">
        <v>55</v>
      </c>
      <c r="C17" s="315"/>
      <c r="D17" s="315"/>
      <c r="E17" s="315"/>
      <c r="F17" s="315"/>
      <c r="G17" s="315"/>
      <c r="H17" s="315"/>
      <c r="I17" s="315"/>
      <c r="J17" s="315"/>
      <c r="K17" s="315"/>
      <c r="L17" s="315"/>
      <c r="M17" s="315"/>
      <c r="N17" s="315"/>
      <c r="O17" s="315"/>
      <c r="P17" s="315"/>
      <c r="Q17" s="315"/>
      <c r="R17" s="315"/>
      <c r="S17" s="315"/>
      <c r="T17" s="315"/>
      <c r="U17" s="315"/>
      <c r="V17" s="315"/>
      <c r="W17" s="315"/>
      <c r="X17" s="315"/>
      <c r="Y17" s="315"/>
      <c r="Z17" s="315"/>
      <c r="AA17" s="315"/>
      <c r="AB17" s="315"/>
      <c r="AC17" s="315"/>
      <c r="AD17" s="315"/>
      <c r="AE17" s="315"/>
      <c r="AF17" s="315"/>
      <c r="AG17" s="315"/>
      <c r="AH17" s="315"/>
      <c r="AK17" s="11">
        <f t="shared" si="4"/>
        <v>2036</v>
      </c>
      <c r="AL17" s="191">
        <f t="shared" si="0"/>
        <v>41.338614942784773</v>
      </c>
      <c r="AM17" s="191">
        <f t="shared" si="1"/>
        <v>-0.89792816301106504</v>
      </c>
      <c r="AN17" s="191">
        <f t="shared" si="2"/>
        <v>40.440686779773706</v>
      </c>
      <c r="AO17" s="193">
        <f t="shared" si="3"/>
        <v>15.576377988144449</v>
      </c>
    </row>
    <row r="18" spans="2:41" x14ac:dyDescent="0.2">
      <c r="B18" s="127"/>
      <c r="C18" s="211"/>
      <c r="D18" s="144" t="s">
        <v>35</v>
      </c>
      <c r="E18" s="145"/>
      <c r="F18" s="145"/>
      <c r="G18" s="145"/>
      <c r="H18" s="145"/>
      <c r="I18" s="145"/>
      <c r="J18" s="145"/>
      <c r="K18" s="145"/>
      <c r="L18" s="145"/>
      <c r="M18" s="145"/>
      <c r="N18" s="145"/>
      <c r="O18" s="145"/>
      <c r="P18" s="145"/>
      <c r="Q18" s="145"/>
      <c r="R18" s="145"/>
      <c r="S18" s="145"/>
      <c r="T18" s="145"/>
      <c r="U18" s="145"/>
      <c r="V18" s="145"/>
      <c r="W18" s="145"/>
      <c r="X18" s="145"/>
      <c r="Y18" s="145"/>
      <c r="AA18" s="316" t="s">
        <v>56</v>
      </c>
      <c r="AB18" s="316"/>
      <c r="AC18" s="316"/>
      <c r="AD18" s="316"/>
      <c r="AE18" s="316"/>
      <c r="AG18" s="316" t="s">
        <v>105</v>
      </c>
      <c r="AH18" s="316"/>
      <c r="AK18" s="11">
        <f t="shared" si="4"/>
        <v>2037</v>
      </c>
      <c r="AL18" s="191">
        <f t="shared" si="0"/>
        <v>49.660844509548703</v>
      </c>
      <c r="AM18" s="191">
        <f t="shared" si="1"/>
        <v>-0.94282457116161833</v>
      </c>
      <c r="AN18" s="191">
        <f t="shared" si="2"/>
        <v>48.718019938387087</v>
      </c>
      <c r="AO18" s="193">
        <f t="shared" si="3"/>
        <v>15.636887008240066</v>
      </c>
    </row>
    <row r="19" spans="2:41" x14ac:dyDescent="0.2">
      <c r="B19" s="175" t="s">
        <v>106</v>
      </c>
      <c r="C19" s="175"/>
      <c r="D19" s="128">
        <f>Macro!C17</f>
        <v>2024</v>
      </c>
      <c r="E19" s="128">
        <f>Macro!D17</f>
        <v>2025</v>
      </c>
      <c r="F19" s="128">
        <f>Macro!E17</f>
        <v>2026</v>
      </c>
      <c r="G19" s="128">
        <f>Macro!F17</f>
        <v>2027</v>
      </c>
      <c r="H19" s="128">
        <f>Macro!G17</f>
        <v>2028</v>
      </c>
      <c r="I19" s="128">
        <f>Macro!H17</f>
        <v>2029</v>
      </c>
      <c r="J19" s="128">
        <f>Macro!I17</f>
        <v>2030</v>
      </c>
      <c r="K19" s="128">
        <f>Macro!J17</f>
        <v>2031</v>
      </c>
      <c r="L19" s="128">
        <f>Macro!K17</f>
        <v>2032</v>
      </c>
      <c r="M19" s="128">
        <f>Macro!L17</f>
        <v>2033</v>
      </c>
      <c r="N19" s="128">
        <f>Macro!M17</f>
        <v>2034</v>
      </c>
      <c r="O19" s="128">
        <f>Macro!N17</f>
        <v>2035</v>
      </c>
      <c r="P19" s="128">
        <f>Macro!O17</f>
        <v>2036</v>
      </c>
      <c r="Q19" s="128">
        <f>Macro!P17</f>
        <v>2037</v>
      </c>
      <c r="R19" s="128">
        <f>Macro!Q17</f>
        <v>2038</v>
      </c>
      <c r="S19" s="128">
        <f>Macro!R17</f>
        <v>2039</v>
      </c>
      <c r="T19" s="128">
        <f>Macro!S17</f>
        <v>2040</v>
      </c>
      <c r="U19" s="128">
        <f>Macro!T17</f>
        <v>2041</v>
      </c>
      <c r="V19" s="128">
        <f>Macro!U17</f>
        <v>2042</v>
      </c>
      <c r="W19" s="128">
        <f>Macro!V17</f>
        <v>2043</v>
      </c>
      <c r="X19" s="128">
        <f>Macro!W17</f>
        <v>2044</v>
      </c>
      <c r="Y19" s="128">
        <f>Macro!X17</f>
        <v>2045</v>
      </c>
      <c r="AA19" s="128" t="s">
        <v>59</v>
      </c>
      <c r="AB19" s="128" t="s">
        <v>60</v>
      </c>
      <c r="AC19" s="128" t="s">
        <v>61</v>
      </c>
      <c r="AD19" s="128" t="s">
        <v>62</v>
      </c>
      <c r="AE19" s="128" t="s">
        <v>63</v>
      </c>
      <c r="AG19" s="128">
        <f>D19</f>
        <v>2024</v>
      </c>
      <c r="AH19" s="128">
        <f>Y19</f>
        <v>2045</v>
      </c>
      <c r="AK19" s="11">
        <f t="shared" si="4"/>
        <v>2038</v>
      </c>
      <c r="AL19" s="191">
        <f t="shared" si="0"/>
        <v>59.650376748316972</v>
      </c>
      <c r="AM19" s="191">
        <f t="shared" si="1"/>
        <v>-0.98996579971969922</v>
      </c>
      <c r="AN19" s="191">
        <f t="shared" si="2"/>
        <v>58.660410948597274</v>
      </c>
      <c r="AO19" s="193">
        <f t="shared" si="3"/>
        <v>15.689832400823731</v>
      </c>
    </row>
    <row r="20" spans="2:41" x14ac:dyDescent="0.2">
      <c r="B20" s="52" t="s">
        <v>107</v>
      </c>
      <c r="C20" s="52"/>
      <c r="D20" s="182">
        <f>AA15*D7</f>
        <v>100</v>
      </c>
      <c r="E20" s="53">
        <f t="shared" ref="E20:Y20" si="5">D20*(1+$D$8)</f>
        <v>105</v>
      </c>
      <c r="F20" s="53">
        <f t="shared" si="5"/>
        <v>110.25</v>
      </c>
      <c r="G20" s="53">
        <f t="shared" si="5"/>
        <v>115.7625</v>
      </c>
      <c r="H20" s="53">
        <f t="shared" si="5"/>
        <v>121.55062500000001</v>
      </c>
      <c r="I20" s="53">
        <f t="shared" si="5"/>
        <v>127.62815625000002</v>
      </c>
      <c r="J20" s="53">
        <f t="shared" si="5"/>
        <v>134.00956406250003</v>
      </c>
      <c r="K20" s="53">
        <f t="shared" si="5"/>
        <v>140.71004226562505</v>
      </c>
      <c r="L20" s="53">
        <f t="shared" si="5"/>
        <v>147.74554437890632</v>
      </c>
      <c r="M20" s="53">
        <f t="shared" si="5"/>
        <v>155.13282159785163</v>
      </c>
      <c r="N20" s="53">
        <f t="shared" si="5"/>
        <v>162.88946267774421</v>
      </c>
      <c r="O20" s="53">
        <f t="shared" si="5"/>
        <v>171.03393581163144</v>
      </c>
      <c r="P20" s="53">
        <f t="shared" si="5"/>
        <v>179.58563260221302</v>
      </c>
      <c r="Q20" s="53">
        <f t="shared" si="5"/>
        <v>188.56491423232367</v>
      </c>
      <c r="R20" s="53">
        <f t="shared" si="5"/>
        <v>197.99315994393987</v>
      </c>
      <c r="S20" s="53">
        <f t="shared" si="5"/>
        <v>207.89281794113688</v>
      </c>
      <c r="T20" s="53">
        <f t="shared" si="5"/>
        <v>218.28745883819374</v>
      </c>
      <c r="U20" s="53">
        <f t="shared" si="5"/>
        <v>229.20183178010345</v>
      </c>
      <c r="V20" s="53">
        <f t="shared" si="5"/>
        <v>240.66192336910862</v>
      </c>
      <c r="W20" s="53">
        <f t="shared" si="5"/>
        <v>252.69501953756406</v>
      </c>
      <c r="X20" s="53">
        <f t="shared" si="5"/>
        <v>265.32977051444226</v>
      </c>
      <c r="Y20" s="53">
        <f t="shared" si="5"/>
        <v>278.5962590401644</v>
      </c>
      <c r="AA20" s="178">
        <f>IFERROR((E20/D20)-1,"")</f>
        <v>5.0000000000000044E-2</v>
      </c>
      <c r="AB20" s="178">
        <f>IFERROR((J20/D20)^(1/6)-1,"")</f>
        <v>5.0000000000000044E-2</v>
      </c>
      <c r="AC20" s="178">
        <f>IFERROR((O20/D20)^(1/11)-1,"")</f>
        <v>5.0000000000000044E-2</v>
      </c>
      <c r="AD20" s="178">
        <f>IFERROR((T20/D20)^(1/16)-1,"")</f>
        <v>5.0000000000000044E-2</v>
      </c>
      <c r="AE20" s="54">
        <f>IFERROR((Y20/D20)^(1/21)-1,"")</f>
        <v>5.0000000000000044E-2</v>
      </c>
      <c r="AG20" s="177"/>
      <c r="AH20" s="177"/>
      <c r="AK20" s="11">
        <f t="shared" si="4"/>
        <v>2039</v>
      </c>
      <c r="AL20" s="191">
        <f t="shared" si="0"/>
        <v>71.64082147405739</v>
      </c>
      <c r="AM20" s="191">
        <f t="shared" si="1"/>
        <v>-1.0394640897056844</v>
      </c>
      <c r="AN20" s="191">
        <f t="shared" si="2"/>
        <v>70.601357384351701</v>
      </c>
      <c r="AO20" s="193">
        <f t="shared" si="3"/>
        <v>15.736159619334437</v>
      </c>
    </row>
    <row r="21" spans="2:41" ht="4" customHeight="1" x14ac:dyDescent="0.2">
      <c r="B21" s="3"/>
      <c r="C21" s="3"/>
      <c r="D21" s="36"/>
      <c r="E21" s="23"/>
      <c r="F21" s="23"/>
      <c r="G21" s="23"/>
      <c r="H21" s="23"/>
      <c r="I21" s="23"/>
      <c r="J21" s="23"/>
      <c r="K21" s="23"/>
      <c r="L21" s="23"/>
      <c r="M21" s="23"/>
      <c r="N21" s="23"/>
      <c r="O21" s="23"/>
      <c r="P21" s="23"/>
      <c r="Q21" s="23"/>
      <c r="R21" s="23"/>
      <c r="S21" s="23"/>
      <c r="T21" s="23"/>
      <c r="U21" s="23"/>
      <c r="V21" s="23"/>
      <c r="W21" s="23"/>
      <c r="X21" s="23"/>
      <c r="Y21" s="23"/>
      <c r="AA21" s="12"/>
      <c r="AB21" s="12"/>
      <c r="AC21" s="12"/>
      <c r="AD21" s="12"/>
      <c r="AE21" s="13"/>
      <c r="AK21" s="188">
        <f t="shared" si="4"/>
        <v>2040</v>
      </c>
      <c r="AL21" s="192">
        <f t="shared" si="0"/>
        <v>86.032518244575115</v>
      </c>
      <c r="AM21" s="192">
        <f t="shared" si="1"/>
        <v>-1.0914372941909685</v>
      </c>
      <c r="AN21" s="192">
        <f t="shared" si="2"/>
        <v>84.941080950384148</v>
      </c>
      <c r="AO21" s="194">
        <f t="shared" si="3"/>
        <v>15.776695935531306</v>
      </c>
    </row>
    <row r="22" spans="2:41" x14ac:dyDescent="0.2">
      <c r="B22" s="48" t="s">
        <v>108</v>
      </c>
      <c r="C22" s="48"/>
      <c r="D22" s="180">
        <f>D26/D24-D4</f>
        <v>11.538461538461538</v>
      </c>
      <c r="E22" s="180">
        <f t="shared" ref="E22:Y22" si="6">E20*$AA$13/E24</f>
        <v>1.0769230769230769</v>
      </c>
      <c r="F22" s="180">
        <f t="shared" si="6"/>
        <v>0.76662320730117339</v>
      </c>
      <c r="G22" s="180">
        <f t="shared" si="6"/>
        <v>0.55514094321809115</v>
      </c>
      <c r="H22" s="180">
        <f t="shared" si="6"/>
        <v>0.40905122131859356</v>
      </c>
      <c r="I22" s="180">
        <f t="shared" si="6"/>
        <v>0.30678841598894518</v>
      </c>
      <c r="J22" s="180">
        <f t="shared" si="6"/>
        <v>0.23427479039155821</v>
      </c>
      <c r="K22" s="180">
        <f t="shared" si="6"/>
        <v>0.18221372586010087</v>
      </c>
      <c r="L22" s="180">
        <f t="shared" si="6"/>
        <v>0.14439578275706111</v>
      </c>
      <c r="M22" s="180">
        <f t="shared" si="6"/>
        <v>0.11662736299608785</v>
      </c>
      <c r="N22" s="180">
        <f t="shared" si="6"/>
        <v>9.6046063643837054E-2</v>
      </c>
      <c r="O22" s="180">
        <f t="shared" si="6"/>
        <v>8.0678693460823139E-2</v>
      </c>
      <c r="P22" s="180">
        <f t="shared" si="6"/>
        <v>6.9153165823562707E-2</v>
      </c>
      <c r="Q22" s="180">
        <f t="shared" si="6"/>
        <v>6.0509020095617372E-2</v>
      </c>
      <c r="R22" s="180">
        <f t="shared" si="6"/>
        <v>5.2945392583665207E-2</v>
      </c>
      <c r="S22" s="180">
        <f t="shared" si="6"/>
        <v>4.6327218510707063E-2</v>
      </c>
      <c r="T22" s="180">
        <f t="shared" si="6"/>
        <v>4.0536316196868684E-2</v>
      </c>
      <c r="U22" s="180">
        <f t="shared" si="6"/>
        <v>3.5469276672260103E-2</v>
      </c>
      <c r="V22" s="180">
        <f t="shared" si="6"/>
        <v>3.103561708822759E-2</v>
      </c>
      <c r="W22" s="180">
        <f t="shared" si="6"/>
        <v>2.7156164952199142E-2</v>
      </c>
      <c r="X22" s="180">
        <f t="shared" si="6"/>
        <v>2.3761644333174251E-2</v>
      </c>
      <c r="Y22" s="180">
        <f t="shared" si="6"/>
        <v>2.0791438791527471E-2</v>
      </c>
      <c r="AA22" s="12"/>
      <c r="AB22" s="12"/>
      <c r="AC22" s="12"/>
      <c r="AD22" s="12"/>
      <c r="AE22" s="12"/>
      <c r="AK22" s="11">
        <f t="shared" si="4"/>
        <v>2041</v>
      </c>
      <c r="AL22" s="191">
        <f t="shared" si="0"/>
        <v>103.30588271355339</v>
      </c>
      <c r="AM22" s="191">
        <f t="shared" si="1"/>
        <v>-1.146009158900517</v>
      </c>
      <c r="AN22" s="191">
        <f t="shared" si="2"/>
        <v>102.15987355465288</v>
      </c>
      <c r="AO22" s="193">
        <f t="shared" si="3"/>
        <v>15.812165212203565</v>
      </c>
    </row>
    <row r="23" spans="2:41" x14ac:dyDescent="0.2">
      <c r="B23" s="179" t="s">
        <v>109</v>
      </c>
      <c r="C23" s="179"/>
      <c r="D23" s="181">
        <f>D26/D24</f>
        <v>11.538461538461538</v>
      </c>
      <c r="E23" s="181">
        <f t="shared" ref="E23:N23" si="7">D23+E22</f>
        <v>12.615384615384615</v>
      </c>
      <c r="F23" s="181">
        <f t="shared" si="7"/>
        <v>13.382007822685788</v>
      </c>
      <c r="G23" s="181">
        <f t="shared" si="7"/>
        <v>13.93714876590388</v>
      </c>
      <c r="H23" s="181">
        <f t="shared" si="7"/>
        <v>14.346199987222473</v>
      </c>
      <c r="I23" s="181">
        <f t="shared" si="7"/>
        <v>14.652988403211419</v>
      </c>
      <c r="J23" s="181">
        <f t="shared" si="7"/>
        <v>14.887263193602976</v>
      </c>
      <c r="K23" s="181">
        <f t="shared" si="7"/>
        <v>15.069476919463078</v>
      </c>
      <c r="L23" s="181">
        <f t="shared" si="7"/>
        <v>15.213872702220138</v>
      </c>
      <c r="M23" s="181">
        <f t="shared" si="7"/>
        <v>15.330500065216226</v>
      </c>
      <c r="N23" s="181">
        <f t="shared" si="7"/>
        <v>15.426546128860062</v>
      </c>
      <c r="O23" s="181">
        <f t="shared" ref="O23:Y23" si="8">N23+O22</f>
        <v>15.507224822320886</v>
      </c>
      <c r="P23" s="181">
        <f t="shared" si="8"/>
        <v>15.576377988144449</v>
      </c>
      <c r="Q23" s="181">
        <f t="shared" si="8"/>
        <v>15.636887008240066</v>
      </c>
      <c r="R23" s="181">
        <f t="shared" si="8"/>
        <v>15.689832400823731</v>
      </c>
      <c r="S23" s="181">
        <f t="shared" si="8"/>
        <v>15.736159619334437</v>
      </c>
      <c r="T23" s="181">
        <f t="shared" si="8"/>
        <v>15.776695935531306</v>
      </c>
      <c r="U23" s="181">
        <f t="shared" si="8"/>
        <v>15.812165212203565</v>
      </c>
      <c r="V23" s="181">
        <f t="shared" si="8"/>
        <v>15.843200829291792</v>
      </c>
      <c r="W23" s="181">
        <f t="shared" si="8"/>
        <v>15.870356994243991</v>
      </c>
      <c r="X23" s="181">
        <f t="shared" si="8"/>
        <v>15.894118638577165</v>
      </c>
      <c r="Y23" s="181">
        <f t="shared" si="8"/>
        <v>15.914910077368692</v>
      </c>
      <c r="AA23" s="54">
        <f>IFERROR((E23/D23)-1,"")</f>
        <v>9.3333333333333268E-2</v>
      </c>
      <c r="AB23" s="54">
        <f>IFERROR((J23/D23)^(1/6)-1,"")</f>
        <v>4.3384770278201534E-2</v>
      </c>
      <c r="AC23" s="54">
        <f>IFERROR((O23/D23)^(1/11)-1,"")</f>
        <v>2.7238931876554462E-2</v>
      </c>
      <c r="AD23" s="54">
        <f>IFERROR((T23/D23)^(1/16)-1,"")</f>
        <v>1.9745410266288177E-2</v>
      </c>
      <c r="AE23" s="54">
        <f>IFERROR((Y23/D23)^(1/21)-1,"")</f>
        <v>1.5430722588398282E-2</v>
      </c>
      <c r="AG23" s="52"/>
      <c r="AH23" s="52"/>
      <c r="AK23" s="11">
        <f t="shared" si="4"/>
        <v>2042</v>
      </c>
      <c r="AL23" s="191">
        <f t="shared" si="0"/>
        <v>124.03742227518509</v>
      </c>
      <c r="AM23" s="191">
        <f t="shared" si="1"/>
        <v>-1.2033096168455428</v>
      </c>
      <c r="AN23" s="191">
        <f t="shared" si="2"/>
        <v>122.83411265833955</v>
      </c>
      <c r="AO23" s="193">
        <f t="shared" si="3"/>
        <v>15.843200829291792</v>
      </c>
    </row>
    <row r="24" spans="2:41" x14ac:dyDescent="0.2">
      <c r="B24" s="48" t="s">
        <v>65</v>
      </c>
      <c r="C24" s="48"/>
      <c r="D24" s="2">
        <f>Macro!C20</f>
        <v>65</v>
      </c>
      <c r="E24" s="2">
        <f>Macro!D20</f>
        <v>97.5</v>
      </c>
      <c r="F24" s="2">
        <f>Macro!E20</f>
        <v>143.8125</v>
      </c>
      <c r="G24" s="2">
        <f>Macro!F20</f>
        <v>208.52812499999999</v>
      </c>
      <c r="H24" s="2">
        <f>Macro!G20</f>
        <v>297.15257812499993</v>
      </c>
      <c r="I24" s="2">
        <f>Macro!H20</f>
        <v>416.01360937499987</v>
      </c>
      <c r="J24" s="2">
        <f>Macro!I20</f>
        <v>572.01871289062478</v>
      </c>
      <c r="K24" s="2">
        <f>Macro!J20</f>
        <v>772.22526240234333</v>
      </c>
      <c r="L24" s="2">
        <f>Macro!K20</f>
        <v>1023.1984726831047</v>
      </c>
      <c r="M24" s="2">
        <f>Macro!L20</f>
        <v>1330.1580144880359</v>
      </c>
      <c r="N24" s="2">
        <f>Macro!M20</f>
        <v>1695.9514684722456</v>
      </c>
      <c r="O24" s="2">
        <f>Macro!N20</f>
        <v>2119.9393355903067</v>
      </c>
      <c r="P24" s="2">
        <f>Macro!O20</f>
        <v>2596.9256860981254</v>
      </c>
      <c r="Q24" s="2">
        <f>Macro!P20</f>
        <v>3116.3108233177504</v>
      </c>
      <c r="R24" s="2">
        <f>Macro!Q20</f>
        <v>3739.5729879813002</v>
      </c>
      <c r="S24" s="2">
        <f>Macro!R20</f>
        <v>4487.4875855775599</v>
      </c>
      <c r="T24" s="2">
        <f>Macro!S20</f>
        <v>5384.9851026930719</v>
      </c>
      <c r="U24" s="2">
        <f>Macro!T20</f>
        <v>6461.9821232316863</v>
      </c>
      <c r="V24" s="2">
        <f>Macro!U20</f>
        <v>7754.3785478780228</v>
      </c>
      <c r="W24" s="2">
        <f>Macro!V20</f>
        <v>9305.2542574536274</v>
      </c>
      <c r="X24" s="2">
        <f>Macro!W20</f>
        <v>11166.305108944352</v>
      </c>
      <c r="Y24" s="2">
        <f>Macro!X20</f>
        <v>13399.566130733223</v>
      </c>
      <c r="AA24" s="12">
        <f>IFERROR((E24/D24)-1,"")</f>
        <v>0.5</v>
      </c>
      <c r="AB24" s="12">
        <f>IFERROR((J24/D24)^(1/6)-1,"")</f>
        <v>0.43686559725988783</v>
      </c>
      <c r="AC24" s="12">
        <f>IFERROR((O24/D24)^(1/11)-1,"")</f>
        <v>0.37272244333469207</v>
      </c>
      <c r="AD24" s="12">
        <f>IFERROR((T24/D24)^(1/16)-1,"")</f>
        <v>0.31792879499327231</v>
      </c>
      <c r="AE24" s="12">
        <f>IFERROR((Y24/D24)^(1/21)-1,"")</f>
        <v>0.28883975252734717</v>
      </c>
      <c r="AK24" s="11">
        <f t="shared" si="4"/>
        <v>2043</v>
      </c>
      <c r="AL24" s="191">
        <f t="shared" si="0"/>
        <v>148.91895485979944</v>
      </c>
      <c r="AM24" s="191">
        <f t="shared" si="1"/>
        <v>-1.2634750976878202</v>
      </c>
      <c r="AN24" s="191">
        <f t="shared" si="2"/>
        <v>147.65547976211161</v>
      </c>
      <c r="AO24" s="193">
        <f t="shared" si="3"/>
        <v>15.870356994243991</v>
      </c>
    </row>
    <row r="25" spans="2:41" x14ac:dyDescent="0.2">
      <c r="B25" s="213" t="s">
        <v>110</v>
      </c>
      <c r="C25" s="213"/>
      <c r="D25" s="233"/>
      <c r="E25" s="233"/>
      <c r="F25" s="233"/>
      <c r="G25" s="233"/>
      <c r="H25" s="233"/>
      <c r="I25" s="233"/>
      <c r="J25" s="233"/>
      <c r="K25" s="233"/>
      <c r="L25" s="233"/>
      <c r="M25" s="233"/>
      <c r="N25" s="233"/>
      <c r="O25" s="233"/>
      <c r="P25" s="233"/>
      <c r="Q25" s="233"/>
      <c r="R25" s="233"/>
      <c r="S25" s="233"/>
      <c r="T25" s="233"/>
      <c r="U25" s="233"/>
      <c r="V25" s="233"/>
      <c r="W25" s="233"/>
      <c r="X25" s="233"/>
      <c r="Y25" s="233"/>
      <c r="AA25" s="223"/>
      <c r="AB25" s="223"/>
      <c r="AC25" s="223"/>
      <c r="AD25" s="223"/>
      <c r="AE25" s="223"/>
      <c r="AG25" s="214"/>
      <c r="AH25" s="214"/>
      <c r="AK25" s="11">
        <f t="shared" si="4"/>
        <v>2044</v>
      </c>
      <c r="AL25" s="191">
        <f t="shared" si="0"/>
        <v>178.78067151182529</v>
      </c>
      <c r="AM25" s="191">
        <f t="shared" si="1"/>
        <v>-1.3266488525722111</v>
      </c>
      <c r="AN25" s="191">
        <f t="shared" si="2"/>
        <v>177.45402265925307</v>
      </c>
      <c r="AO25" s="193">
        <f t="shared" si="3"/>
        <v>15.894118638577165</v>
      </c>
    </row>
    <row r="26" spans="2:41" x14ac:dyDescent="0.2">
      <c r="B26" t="s">
        <v>50</v>
      </c>
      <c r="D26" s="20">
        <f>AA12*(1-$O$6)*$D$5+AA14+D4*D24</f>
        <v>750</v>
      </c>
      <c r="E26" s="2">
        <f t="shared" ref="E26:Y26" si="9">E24*E23</f>
        <v>1230</v>
      </c>
      <c r="F26" s="2">
        <f t="shared" si="9"/>
        <v>1924.4999999999998</v>
      </c>
      <c r="G26" s="2">
        <f t="shared" si="9"/>
        <v>2906.2874999999999</v>
      </c>
      <c r="H26" s="2">
        <f t="shared" si="9"/>
        <v>4263.0103124999987</v>
      </c>
      <c r="I26" s="2">
        <f t="shared" si="9"/>
        <v>6095.8425937499978</v>
      </c>
      <c r="J26" s="2">
        <f t="shared" si="9"/>
        <v>8515.7931304687463</v>
      </c>
      <c r="K26" s="2">
        <f t="shared" si="9"/>
        <v>11637.030768398432</v>
      </c>
      <c r="L26" s="2">
        <f t="shared" si="9"/>
        <v>15566.811312506825</v>
      </c>
      <c r="M26" s="2">
        <f t="shared" si="9"/>
        <v>20391.98752785672</v>
      </c>
      <c r="N26" s="2">
        <f t="shared" si="9"/>
        <v>26162.673560695057</v>
      </c>
      <c r="O26" s="2">
        <f t="shared" si="9"/>
        <v>32874.375886680449</v>
      </c>
      <c r="P26" s="2">
        <f t="shared" si="9"/>
        <v>40450.696093785758</v>
      </c>
      <c r="Q26" s="2">
        <f t="shared" si="9"/>
        <v>48729.400226775237</v>
      </c>
      <c r="R26" s="2">
        <f t="shared" si="9"/>
        <v>58673.273432074217</v>
      </c>
      <c r="S26" s="2">
        <f t="shared" si="9"/>
        <v>70615.820936430187</v>
      </c>
      <c r="T26" s="2">
        <f t="shared" si="9"/>
        <v>84957.272582554418</v>
      </c>
      <c r="U26" s="2">
        <f t="shared" si="9"/>
        <v>102177.9289308454</v>
      </c>
      <c r="V26" s="2">
        <f t="shared" si="9"/>
        <v>122854.17664038358</v>
      </c>
      <c r="W26" s="2">
        <f t="shared" si="9"/>
        <v>147677.70698799787</v>
      </c>
      <c r="X26" s="2">
        <f t="shared" si="9"/>
        <v>177478.57815611185</v>
      </c>
      <c r="Y26" s="2">
        <f t="shared" si="9"/>
        <v>213252.89004637438</v>
      </c>
      <c r="AA26" s="12">
        <f t="shared" ref="AA26:AA31" si="10">IFERROR((E26/D26)-1,"")</f>
        <v>0.6399999999999999</v>
      </c>
      <c r="AB26" s="12">
        <f t="shared" ref="AB26:AB31" si="11">IFERROR((J26/D26)^(1/6)-1,"")</f>
        <v>0.499203681117659</v>
      </c>
      <c r="AC26" s="12">
        <f t="shared" ref="AC26:AC31" si="12">IFERROR((O26/D26)^(1/11)-1,"")</f>
        <v>0.4101139364541031</v>
      </c>
      <c r="AD26" s="12">
        <f t="shared" ref="AD26:AD31" si="13">IFERROR((T26/D26)^(1/16)-1,"")</f>
        <v>0.34395183975216947</v>
      </c>
      <c r="AE26" s="12">
        <f t="shared" ref="AE26:AE31" si="14">IFERROR((Y26/D26)^(1/21)-1,"")</f>
        <v>0.30872748120949622</v>
      </c>
      <c r="AG26" s="12">
        <f t="shared" ref="AG26:AG31" si="15">D26/D$31</f>
        <v>0.6</v>
      </c>
      <c r="AH26" s="12">
        <f t="shared" ref="AH26:AH31" si="16">Y26/Y$31</f>
        <v>0.9936355930228592</v>
      </c>
      <c r="AK26" s="188">
        <f t="shared" si="4"/>
        <v>2045</v>
      </c>
      <c r="AL26" s="192">
        <f t="shared" si="0"/>
        <v>214.61881150776003</v>
      </c>
      <c r="AM26" s="192">
        <f t="shared" si="1"/>
        <v>-1.3929812952008218</v>
      </c>
      <c r="AN26" s="192">
        <f t="shared" si="2"/>
        <v>213.2258302125592</v>
      </c>
      <c r="AO26" s="194">
        <f t="shared" si="3"/>
        <v>15.914910077368692</v>
      </c>
    </row>
    <row r="27" spans="2:41" x14ac:dyDescent="0.2">
      <c r="B27" t="s">
        <v>46</v>
      </c>
      <c r="D27" s="20">
        <f>$D$5*$O5*(1-AA12)</f>
        <v>0</v>
      </c>
      <c r="E27" s="2">
        <f>D27*(1+Macro!D71)+E$20*(1-$AA$13)*$O5/(1-$O$6)</f>
        <v>0</v>
      </c>
      <c r="F27" s="2">
        <f>E27*(1+Macro!E71)+F$20*(1-$AA$13)*$O5/(1-$O$6)</f>
        <v>0</v>
      </c>
      <c r="G27" s="2">
        <f>F27*(1+Macro!F71)+G$20*(1-$AA$13)*$O5/(1-$O$6)</f>
        <v>0</v>
      </c>
      <c r="H27" s="2">
        <f>G27*(1+Macro!G71)+H$20*(1-$AA$13)*$O5/(1-$O$6)</f>
        <v>0</v>
      </c>
      <c r="I27" s="2">
        <f>H27*(1+Macro!H71)+I$20*(1-$AA$13)*$O5/(1-$O$6)</f>
        <v>0</v>
      </c>
      <c r="J27" s="2">
        <f>I27*(1+Macro!I71)+J$20*(1-$AA$13)*$O5/(1-$O$6)</f>
        <v>0</v>
      </c>
      <c r="K27" s="2">
        <f>J27*(1+Macro!J71)+K$20*(1-$AA$13)*$O5/(1-$O$6)</f>
        <v>0</v>
      </c>
      <c r="L27" s="2">
        <f>K27*(1+Macro!K71)+L$20*(1-$AA$13)*$O5/(1-$O$6)</f>
        <v>0</v>
      </c>
      <c r="M27" s="2">
        <f>L27*(1+Macro!L71)+M$20*(1-$AA$13)*$O5/(1-$O$6)</f>
        <v>0</v>
      </c>
      <c r="N27" s="2">
        <f>M27*(1+Macro!M71)+N$20*(1-$AA$13)*$O5/(1-$O$6)</f>
        <v>0</v>
      </c>
      <c r="O27" s="2">
        <f>N27*(1+Macro!N71)+O$20*(1-$AA$13)*$O5/(1-$O$6)</f>
        <v>0</v>
      </c>
      <c r="P27" s="2">
        <f>O27*(1+Macro!O71)+P$20*(1-$AA$13)*$O5/(1-$O$6)</f>
        <v>0</v>
      </c>
      <c r="Q27" s="2">
        <f>P27*(1+Macro!P71)+Q$20*(1-$AA$13)*$O5/(1-$O$6)</f>
        <v>0</v>
      </c>
      <c r="R27" s="2">
        <f>Q27*(1+Macro!Q71)+R$20*(1-$AA$13)*$O5/(1-$O$6)</f>
        <v>0</v>
      </c>
      <c r="S27" s="2">
        <f>R27*(1+Macro!R71)+S$20*(1-$AA$13)*$O5/(1-$O$6)</f>
        <v>0</v>
      </c>
      <c r="T27" s="2">
        <f>S27*(1+Macro!S71)+T$20*(1-$AA$13)*$O5/(1-$O$6)</f>
        <v>0</v>
      </c>
      <c r="U27" s="2">
        <f>T27*(1+Macro!T71)+U$20*(1-$AA$13)*$O5/(1-$O$6)</f>
        <v>0</v>
      </c>
      <c r="V27" s="2">
        <f>U27*(1+Macro!U71)+V$20*(1-$AA$13)*$O5/(1-$O$6)</f>
        <v>0</v>
      </c>
      <c r="W27" s="2">
        <f>V27*(1+Macro!V71)+W$20*(1-$AA$13)*$O5/(1-$O$6)</f>
        <v>0</v>
      </c>
      <c r="X27" s="2">
        <f>W27*(1+Macro!W71)+X$20*(1-$AA$13)*$O5/(1-$O$6)</f>
        <v>0</v>
      </c>
      <c r="Y27" s="2">
        <f>X27*(1+Macro!X71)+Y$20*(1-$AA$13)*$O5/(1-$O$6)</f>
        <v>0</v>
      </c>
      <c r="AA27" s="12" t="str">
        <f t="shared" si="10"/>
        <v/>
      </c>
      <c r="AB27" s="12" t="str">
        <f t="shared" si="11"/>
        <v/>
      </c>
      <c r="AC27" s="12" t="str">
        <f t="shared" si="12"/>
        <v/>
      </c>
      <c r="AD27" s="12" t="str">
        <f t="shared" si="13"/>
        <v/>
      </c>
      <c r="AE27" s="12" t="str">
        <f t="shared" si="14"/>
        <v/>
      </c>
      <c r="AG27" s="12">
        <f t="shared" si="15"/>
        <v>0</v>
      </c>
      <c r="AH27" s="12">
        <f t="shared" si="16"/>
        <v>0</v>
      </c>
    </row>
    <row r="28" spans="2:41" x14ac:dyDescent="0.2">
      <c r="B28" t="s">
        <v>49</v>
      </c>
      <c r="D28" s="20">
        <f>$D$5*O6</f>
        <v>500</v>
      </c>
      <c r="E28" s="2">
        <f>D28*(1+Macro!D72)</f>
        <v>524.50980392156862</v>
      </c>
      <c r="F28" s="2">
        <f>E28*(1+Macro!E72)</f>
        <v>550.22106881968477</v>
      </c>
      <c r="G28" s="2">
        <f>F28*(1+Macro!F72)</f>
        <v>577.19268984025757</v>
      </c>
      <c r="H28" s="2">
        <f>G28*(1+Macro!G72)</f>
        <v>605.48644914615261</v>
      </c>
      <c r="I28" s="2">
        <f>H28*(1+Macro!H72)</f>
        <v>635.16715743763075</v>
      </c>
      <c r="J28" s="2">
        <f>I28*(1+Macro!I72)</f>
        <v>666.30280241006369</v>
      </c>
      <c r="K28" s="2">
        <f>J28*(1+Macro!J72)</f>
        <v>698.96470448898845</v>
      </c>
      <c r="L28" s="2">
        <f>K28*(1+Macro!K72)</f>
        <v>733.22768019923296</v>
      </c>
      <c r="M28" s="2">
        <f>L28*(1+Macro!L72)</f>
        <v>769.1702135423327</v>
      </c>
      <c r="N28" s="2">
        <f>M28*(1+Macro!M72)</f>
        <v>806.87463577480003</v>
      </c>
      <c r="O28" s="2">
        <f>N28*(1+Macro!N72)</f>
        <v>846.42731399905495</v>
      </c>
      <c r="P28" s="2">
        <f>O28*(1+Macro!O72)</f>
        <v>887.91884899900867</v>
      </c>
      <c r="Q28" s="2">
        <f>P28*(1+Macro!P72)</f>
        <v>931.44428277346992</v>
      </c>
      <c r="R28" s="2">
        <f>Q28*(1+Macro!Q72)</f>
        <v>977.10331624275773</v>
      </c>
      <c r="S28" s="2">
        <f>R28*(1+Macro!R72)</f>
        <v>1025.0005376272068</v>
      </c>
      <c r="T28" s="2">
        <f>S28*(1+Macro!S72)</f>
        <v>1075.2456620206974</v>
      </c>
      <c r="U28" s="2">
        <f>T28*(1+Macro!T72)</f>
        <v>1127.9537827079866</v>
      </c>
      <c r="V28" s="2">
        <f>U28*(1+Macro!U72)</f>
        <v>1183.2456348015155</v>
      </c>
      <c r="W28" s="2">
        <f>V28*(1+Macro!V72)</f>
        <v>1241.2478718015898</v>
      </c>
      <c r="X28" s="2">
        <f>W28*(1+Macro!W72)</f>
        <v>1302.0933557134324</v>
      </c>
      <c r="Y28" s="2">
        <f>X28*(1+Macro!X72)</f>
        <v>1365.9214613856595</v>
      </c>
      <c r="AA28" s="12">
        <f t="shared" si="10"/>
        <v>4.9019607843137303E-2</v>
      </c>
      <c r="AB28" s="12">
        <f t="shared" si="11"/>
        <v>4.9019607843137303E-2</v>
      </c>
      <c r="AC28" s="12">
        <f t="shared" si="12"/>
        <v>4.9019607843137303E-2</v>
      </c>
      <c r="AD28" s="12">
        <f t="shared" si="13"/>
        <v>4.9019607843137303E-2</v>
      </c>
      <c r="AE28" s="12">
        <f t="shared" si="14"/>
        <v>4.9019607843137303E-2</v>
      </c>
      <c r="AG28" s="12">
        <f t="shared" si="15"/>
        <v>0.4</v>
      </c>
      <c r="AH28" s="12">
        <f t="shared" si="16"/>
        <v>6.3644069771408253E-3</v>
      </c>
    </row>
    <row r="29" spans="2:41" x14ac:dyDescent="0.2">
      <c r="B29" t="s">
        <v>51</v>
      </c>
      <c r="D29" s="20">
        <f>$D$5*$O7*(1-$AA$12)</f>
        <v>0</v>
      </c>
      <c r="E29" s="2">
        <f>D29*(1+Macro!D75*(1-$D9))+E$20*(1-$AA$13)*$O7/(1-$O$6)</f>
        <v>0</v>
      </c>
      <c r="F29" s="2">
        <f>E29*(1+Macro!E75*(1-$D9))+F$20*(1-$AA$13)*$O7/(1-$O$6)</f>
        <v>0</v>
      </c>
      <c r="G29" s="2">
        <f>F29*(1+Macro!F75*(1-$D9))+G$20*(1-$AA$13)*$O7/(1-$O$6)</f>
        <v>0</v>
      </c>
      <c r="H29" s="2">
        <f>G29*(1+Macro!G75*(1-$D9))+H$20*(1-$AA$13)*$O7/(1-$O$6)</f>
        <v>0</v>
      </c>
      <c r="I29" s="2">
        <f>H29*(1+Macro!H75*(1-$D9))+I$20*(1-$AA$13)*$O7/(1-$O$6)</f>
        <v>0</v>
      </c>
      <c r="J29" s="2">
        <f>I29*(1+Macro!I75*(1-$D9))+J$20*(1-$AA$13)*$O7/(1-$O$6)</f>
        <v>0</v>
      </c>
      <c r="K29" s="2">
        <f>J29*(1+Macro!J75*(1-$D9))+K$20*(1-$AA$13)*$O7/(1-$O$6)</f>
        <v>0</v>
      </c>
      <c r="L29" s="2">
        <f>K29*(1+Macro!K75*(1-$D9))+L$20*(1-$AA$13)*$O7/(1-$O$6)</f>
        <v>0</v>
      </c>
      <c r="M29" s="2">
        <f>L29*(1+Macro!L75*(1-$D9))+M$20*(1-$AA$13)*$O7/(1-$O$6)</f>
        <v>0</v>
      </c>
      <c r="N29" s="2">
        <f>M29*(1+Macro!M75*(1-$D9))+N$20*(1-$AA$13)*$O7/(1-$O$6)</f>
        <v>0</v>
      </c>
      <c r="O29" s="2">
        <f>N29*(1+Macro!N75*(1-$D9))+O$20*(1-$AA$13)*$O7/(1-$O$6)</f>
        <v>0</v>
      </c>
      <c r="P29" s="2">
        <f>O29*(1+Macro!O75*(1-$D9))+P$20*(1-$AA$13)*$O7/(1-$O$6)</f>
        <v>0</v>
      </c>
      <c r="Q29" s="2">
        <f>P29*(1+Macro!P75*(1-$D9))+Q$20*(1-$AA$13)*$O7/(1-$O$6)</f>
        <v>0</v>
      </c>
      <c r="R29" s="2">
        <f>Q29*(1+Macro!Q75*(1-$D9))+R$20*(1-$AA$13)*$O7/(1-$O$6)</f>
        <v>0</v>
      </c>
      <c r="S29" s="2">
        <f>R29*(1+Macro!R75*(1-$D9))+S$20*(1-$AA$13)*$O7/(1-$O$6)</f>
        <v>0</v>
      </c>
      <c r="T29" s="2">
        <f>S29*(1+Macro!S75*(1-$D9))+T$20*(1-$AA$13)*$O7/(1-$O$6)</f>
        <v>0</v>
      </c>
      <c r="U29" s="2">
        <f>T29*(1+Macro!T75*(1-$D9))+U$20*(1-$AA$13)*$O7/(1-$O$6)</f>
        <v>0</v>
      </c>
      <c r="V29" s="2">
        <f>U29*(1+Macro!U75*(1-$D9))+V$20*(1-$AA$13)*$O7/(1-$O$6)</f>
        <v>0</v>
      </c>
      <c r="W29" s="2">
        <f>V29*(1+Macro!V75*(1-$D9))+W$20*(1-$AA$13)*$O7/(1-$O$6)</f>
        <v>0</v>
      </c>
      <c r="X29" s="2">
        <f>W29*(1+Macro!W75*(1-$D9))+X$20*(1-$AA$13)*$O7/(1-$O$6)</f>
        <v>0</v>
      </c>
      <c r="Y29" s="2">
        <f>X29*(1+Macro!X75*(1-$D9))+Y$20*(1-$AA$13)*$O7/(1-$O$6)</f>
        <v>0</v>
      </c>
      <c r="AA29" s="12" t="str">
        <f t="shared" si="10"/>
        <v/>
      </c>
      <c r="AB29" s="12" t="str">
        <f t="shared" si="11"/>
        <v/>
      </c>
      <c r="AC29" s="12" t="str">
        <f t="shared" si="12"/>
        <v/>
      </c>
      <c r="AD29" s="12" t="str">
        <f t="shared" si="13"/>
        <v/>
      </c>
      <c r="AE29" s="12" t="str">
        <f t="shared" si="14"/>
        <v/>
      </c>
      <c r="AG29" s="12">
        <f t="shared" si="15"/>
        <v>0</v>
      </c>
      <c r="AH29" s="12">
        <f t="shared" si="16"/>
        <v>0</v>
      </c>
    </row>
    <row r="30" spans="2:41" x14ac:dyDescent="0.2">
      <c r="B30" t="s">
        <v>53</v>
      </c>
      <c r="D30" s="2">
        <f>$D$5*$O8*(1-$AA$12)</f>
        <v>0</v>
      </c>
      <c r="E30" s="2">
        <f>D30*(1+Macro!D76*(1-$D9))+E$20*(1-$AA$13)*$O8/(1-$O$6)</f>
        <v>0</v>
      </c>
      <c r="F30" s="2">
        <f>E30*(1+Macro!E76*(1-$D9))+F$20*(1-$AA$13)*$O8/(1-$O$6)</f>
        <v>0</v>
      </c>
      <c r="G30" s="2">
        <f>F30*(1+Macro!F76*(1-$D9))+G$20*(1-$AA$13)*$O8/(1-$O$6)</f>
        <v>0</v>
      </c>
      <c r="H30" s="2">
        <f>G30*(1+Macro!G76*(1-$D9))+H$20*(1-$AA$13)*$O8/(1-$O$6)</f>
        <v>0</v>
      </c>
      <c r="I30" s="2">
        <f>H30*(1+Macro!H76*(1-$D9))+I$20*(1-$AA$13)*$O8/(1-$O$6)</f>
        <v>0</v>
      </c>
      <c r="J30" s="2">
        <f>I30*(1+Macro!I76*(1-$D9))+J$20*(1-$AA$13)*$O8/(1-$O$6)</f>
        <v>0</v>
      </c>
      <c r="K30" s="2">
        <f>J30*(1+Macro!J76*(1-$D9))+K$20*(1-$AA$13)*$O8/(1-$O$6)</f>
        <v>0</v>
      </c>
      <c r="L30" s="2">
        <f>K30*(1+Macro!K76*(1-$D9))+L$20*(1-$AA$13)*$O8/(1-$O$6)</f>
        <v>0</v>
      </c>
      <c r="M30" s="2">
        <f>L30*(1+Macro!L76*(1-$D9))+M$20*(1-$AA$13)*$O8/(1-$O$6)</f>
        <v>0</v>
      </c>
      <c r="N30" s="2">
        <f>M30*(1+Macro!M76*(1-$D9))+N$20*(1-$AA$13)*$O8/(1-$O$6)</f>
        <v>0</v>
      </c>
      <c r="O30" s="2">
        <f>N30*(1+Macro!N76*(1-$D9))+O$20*(1-$AA$13)*$O8/(1-$O$6)</f>
        <v>0</v>
      </c>
      <c r="P30" s="2">
        <f>O30*(1+Macro!O76*(1-$D9))+P$20*(1-$AA$13)*$O8/(1-$O$6)</f>
        <v>0</v>
      </c>
      <c r="Q30" s="2">
        <f>P30*(1+Macro!P76*(1-$D9))+Q$20*(1-$AA$13)*$O8/(1-$O$6)</f>
        <v>0</v>
      </c>
      <c r="R30" s="2">
        <f>Q30*(1+Macro!Q76*(1-$D9))+R$20*(1-$AA$13)*$O8/(1-$O$6)</f>
        <v>0</v>
      </c>
      <c r="S30" s="2">
        <f>R30*(1+Macro!R76*(1-$D9))+S$20*(1-$AA$13)*$O8/(1-$O$6)</f>
        <v>0</v>
      </c>
      <c r="T30" s="2">
        <f>S30*(1+Macro!S76*(1-$D9))+T$20*(1-$AA$13)*$O8/(1-$O$6)</f>
        <v>0</v>
      </c>
      <c r="U30" s="2">
        <f>T30*(1+Macro!T76*(1-$D9))+U$20*(1-$AA$13)*$O8/(1-$O$6)</f>
        <v>0</v>
      </c>
      <c r="V30" s="2">
        <f>U30*(1+Macro!U76*(1-$D9))+V$20*(1-$AA$13)*$O8/(1-$O$6)</f>
        <v>0</v>
      </c>
      <c r="W30" s="2">
        <f>V30*(1+Macro!V76*(1-$D9))+W$20*(1-$AA$13)*$O8/(1-$O$6)</f>
        <v>0</v>
      </c>
      <c r="X30" s="2">
        <f>W30*(1+Macro!W76*(1-$D9))+X$20*(1-$AA$13)*$O8/(1-$O$6)</f>
        <v>0</v>
      </c>
      <c r="Y30" s="2">
        <f>X30*(1+Macro!X76*(1-$D9))+Y$20*(1-$AA$13)*$O8/(1-$O$6)</f>
        <v>0</v>
      </c>
      <c r="AA30" s="12" t="str">
        <f t="shared" si="10"/>
        <v/>
      </c>
      <c r="AB30" s="12" t="str">
        <f t="shared" si="11"/>
        <v/>
      </c>
      <c r="AC30" s="12" t="str">
        <f t="shared" si="12"/>
        <v/>
      </c>
      <c r="AD30" s="12" t="str">
        <f t="shared" si="13"/>
        <v/>
      </c>
      <c r="AE30" s="12" t="str">
        <f t="shared" si="14"/>
        <v/>
      </c>
      <c r="AG30" s="12">
        <f t="shared" si="15"/>
        <v>0</v>
      </c>
      <c r="AH30" s="12">
        <f t="shared" si="16"/>
        <v>0</v>
      </c>
    </row>
    <row r="31" spans="2:41" x14ac:dyDescent="0.2">
      <c r="B31" s="134" t="s">
        <v>111</v>
      </c>
      <c r="C31" s="134"/>
      <c r="D31" s="176">
        <f t="shared" ref="D31:Y31" si="17">SUM(D26:D30)</f>
        <v>1250</v>
      </c>
      <c r="E31" s="176">
        <f t="shared" si="17"/>
        <v>1754.5098039215686</v>
      </c>
      <c r="F31" s="176">
        <f t="shared" si="17"/>
        <v>2474.7210688196847</v>
      </c>
      <c r="G31" s="176">
        <f t="shared" si="17"/>
        <v>3483.4801898402575</v>
      </c>
      <c r="H31" s="176">
        <f t="shared" si="17"/>
        <v>4868.4967616461508</v>
      </c>
      <c r="I31" s="176">
        <f t="shared" si="17"/>
        <v>6731.0097511876284</v>
      </c>
      <c r="J31" s="176">
        <f t="shared" si="17"/>
        <v>9182.0959328788103</v>
      </c>
      <c r="K31" s="176">
        <f t="shared" si="17"/>
        <v>12335.99547288742</v>
      </c>
      <c r="L31" s="176">
        <f t="shared" si="17"/>
        <v>16300.038992706057</v>
      </c>
      <c r="M31" s="176">
        <f t="shared" si="17"/>
        <v>21161.157741399053</v>
      </c>
      <c r="N31" s="176">
        <f t="shared" si="17"/>
        <v>26969.548196469856</v>
      </c>
      <c r="O31" s="176">
        <f t="shared" si="17"/>
        <v>33720.803200679504</v>
      </c>
      <c r="P31" s="176">
        <f t="shared" si="17"/>
        <v>41338.61494278477</v>
      </c>
      <c r="Q31" s="176">
        <f t="shared" si="17"/>
        <v>49660.844509548704</v>
      </c>
      <c r="R31" s="176">
        <f t="shared" si="17"/>
        <v>59650.376748316972</v>
      </c>
      <c r="S31" s="176">
        <f t="shared" si="17"/>
        <v>71640.821474057389</v>
      </c>
      <c r="T31" s="176">
        <f t="shared" si="17"/>
        <v>86032.518244575112</v>
      </c>
      <c r="U31" s="176">
        <f t="shared" si="17"/>
        <v>103305.88271355339</v>
      </c>
      <c r="V31" s="176">
        <f t="shared" si="17"/>
        <v>124037.42227518509</v>
      </c>
      <c r="W31" s="176">
        <f t="shared" si="17"/>
        <v>148918.95485979944</v>
      </c>
      <c r="X31" s="176">
        <f t="shared" si="17"/>
        <v>178780.67151182529</v>
      </c>
      <c r="Y31" s="176">
        <f t="shared" si="17"/>
        <v>214618.81150776002</v>
      </c>
      <c r="AA31" s="136">
        <f t="shared" si="10"/>
        <v>0.40360784313725495</v>
      </c>
      <c r="AB31" s="136">
        <f t="shared" si="11"/>
        <v>0.39424352248326566</v>
      </c>
      <c r="AC31" s="136">
        <f t="shared" si="12"/>
        <v>0.34924186693743997</v>
      </c>
      <c r="AD31" s="136">
        <f t="shared" si="13"/>
        <v>0.30274537163696191</v>
      </c>
      <c r="AE31" s="136">
        <f t="shared" si="14"/>
        <v>0.27766511406986716</v>
      </c>
      <c r="AG31" s="136">
        <f t="shared" si="15"/>
        <v>1</v>
      </c>
      <c r="AH31" s="136">
        <f t="shared" si="16"/>
        <v>1</v>
      </c>
    </row>
    <row r="32" spans="2:41" ht="15" customHeight="1" x14ac:dyDescent="0.2">
      <c r="B32" t="s">
        <v>112</v>
      </c>
      <c r="D32" s="2">
        <f>-AE4-AA14</f>
        <v>-500</v>
      </c>
      <c r="E32" s="2">
        <f t="shared" ref="E32:Y32" si="18">D32*(1+$AE$5)</f>
        <v>-525</v>
      </c>
      <c r="F32" s="2">
        <f t="shared" si="18"/>
        <v>-551.25</v>
      </c>
      <c r="G32" s="2">
        <f t="shared" si="18"/>
        <v>-578.8125</v>
      </c>
      <c r="H32" s="2">
        <f t="shared" si="18"/>
        <v>-607.75312500000007</v>
      </c>
      <c r="I32" s="2">
        <f t="shared" si="18"/>
        <v>-638.14078125000015</v>
      </c>
      <c r="J32" s="2">
        <f t="shared" si="18"/>
        <v>-670.04782031250022</v>
      </c>
      <c r="K32" s="2">
        <f t="shared" si="18"/>
        <v>-703.55021132812522</v>
      </c>
      <c r="L32" s="2">
        <f t="shared" si="18"/>
        <v>-738.72772189453156</v>
      </c>
      <c r="M32" s="2">
        <f t="shared" si="18"/>
        <v>-775.66410798925813</v>
      </c>
      <c r="N32" s="2">
        <f t="shared" si="18"/>
        <v>-814.44731338872111</v>
      </c>
      <c r="O32" s="2">
        <f t="shared" si="18"/>
        <v>-855.16967905815716</v>
      </c>
      <c r="P32" s="2">
        <f t="shared" si="18"/>
        <v>-897.92816301106507</v>
      </c>
      <c r="Q32" s="2">
        <f t="shared" si="18"/>
        <v>-942.82457116161834</v>
      </c>
      <c r="R32" s="2">
        <f t="shared" si="18"/>
        <v>-989.96579971969925</v>
      </c>
      <c r="S32" s="2">
        <f t="shared" si="18"/>
        <v>-1039.4640897056843</v>
      </c>
      <c r="T32" s="2">
        <f t="shared" si="18"/>
        <v>-1091.4372941909685</v>
      </c>
      <c r="U32" s="2">
        <f t="shared" si="18"/>
        <v>-1146.0091589005169</v>
      </c>
      <c r="V32" s="2">
        <f t="shared" si="18"/>
        <v>-1203.3096168455429</v>
      </c>
      <c r="W32" s="2">
        <f t="shared" si="18"/>
        <v>-1263.4750976878202</v>
      </c>
      <c r="X32" s="2">
        <f t="shared" si="18"/>
        <v>-1326.6488525722111</v>
      </c>
      <c r="Y32" s="2">
        <f t="shared" si="18"/>
        <v>-1392.9812952008217</v>
      </c>
      <c r="AA32" s="12">
        <f>IFERROR((E32/D32)-1,"")</f>
        <v>5.0000000000000044E-2</v>
      </c>
      <c r="AB32" s="12">
        <f>IFERROR((J32/D32)^(1/6)-1,"")</f>
        <v>5.0000000000000044E-2</v>
      </c>
      <c r="AC32" s="12">
        <f>IFERROR((O32/D32)^(1/11)-1,"")</f>
        <v>5.0000000000000044E-2</v>
      </c>
      <c r="AD32" s="12">
        <f>IFERROR((T32/D32)^(1/16)-1,"")</f>
        <v>5.0000000000000044E-2</v>
      </c>
      <c r="AE32" s="12">
        <f>IFERROR((Y32/D32)^(1/21)-1,"")</f>
        <v>5.0000000000000044E-2</v>
      </c>
      <c r="AG32" s="9"/>
      <c r="AH32" s="9"/>
    </row>
    <row r="33" spans="2:41" ht="15" customHeight="1" x14ac:dyDescent="0.2">
      <c r="B33" s="134" t="s">
        <v>113</v>
      </c>
      <c r="C33" s="134"/>
      <c r="D33" s="176">
        <f t="shared" ref="D33:Y33" si="19">D31+D32</f>
        <v>750</v>
      </c>
      <c r="E33" s="176">
        <f t="shared" si="19"/>
        <v>1229.5098039215686</v>
      </c>
      <c r="F33" s="176">
        <f t="shared" si="19"/>
        <v>1923.4710688196847</v>
      </c>
      <c r="G33" s="176">
        <f t="shared" si="19"/>
        <v>2904.6676898402575</v>
      </c>
      <c r="H33" s="176">
        <f t="shared" si="19"/>
        <v>4260.7436366461507</v>
      </c>
      <c r="I33" s="176">
        <f t="shared" si="19"/>
        <v>6092.8689699376282</v>
      </c>
      <c r="J33" s="176">
        <f t="shared" si="19"/>
        <v>8512.04811256631</v>
      </c>
      <c r="K33" s="176">
        <f t="shared" si="19"/>
        <v>11632.445261559295</v>
      </c>
      <c r="L33" s="176">
        <f t="shared" si="19"/>
        <v>15561.311270811526</v>
      </c>
      <c r="M33" s="176">
        <f t="shared" si="19"/>
        <v>20385.493633409795</v>
      </c>
      <c r="N33" s="176">
        <f t="shared" si="19"/>
        <v>26155.100883081133</v>
      </c>
      <c r="O33" s="176">
        <f t="shared" si="19"/>
        <v>32865.633521621348</v>
      </c>
      <c r="P33" s="176">
        <f t="shared" si="19"/>
        <v>40440.686779773707</v>
      </c>
      <c r="Q33" s="176">
        <f t="shared" si="19"/>
        <v>48718.019938387086</v>
      </c>
      <c r="R33" s="176">
        <f t="shared" si="19"/>
        <v>58660.410948597273</v>
      </c>
      <c r="S33" s="176">
        <f t="shared" si="19"/>
        <v>70601.357384351708</v>
      </c>
      <c r="T33" s="176">
        <f t="shared" si="19"/>
        <v>84941.080950384145</v>
      </c>
      <c r="U33" s="176">
        <f t="shared" si="19"/>
        <v>102159.87355465288</v>
      </c>
      <c r="V33" s="176">
        <f t="shared" si="19"/>
        <v>122834.11265833955</v>
      </c>
      <c r="W33" s="176">
        <f t="shared" si="19"/>
        <v>147655.47976211162</v>
      </c>
      <c r="X33" s="176">
        <f t="shared" si="19"/>
        <v>177454.02265925307</v>
      </c>
      <c r="Y33" s="176">
        <f t="shared" si="19"/>
        <v>213225.8302125592</v>
      </c>
      <c r="AA33" s="136">
        <f>IFERROR((E33/D33)-1,"")</f>
        <v>0.63934640522875807</v>
      </c>
      <c r="AB33" s="136">
        <f>IFERROR((J33/D33)^(1/6)-1,"")</f>
        <v>0.49909377603466765</v>
      </c>
      <c r="AC33" s="136">
        <f>IFERROR((O33/D33)^(1/11)-1,"")</f>
        <v>0.41007984186638402</v>
      </c>
      <c r="AD33" s="136">
        <f>IFERROR((T33/D33)^(1/16)-1,"")</f>
        <v>0.34393582970568959</v>
      </c>
      <c r="AE33" s="136">
        <f>IFERROR((Y33/D33)^(1/21)-1,"")</f>
        <v>0.30871957285060136</v>
      </c>
      <c r="AG33" s="137"/>
      <c r="AH33" s="137"/>
    </row>
    <row r="34" spans="2:41" x14ac:dyDescent="0.2">
      <c r="D34" s="2"/>
      <c r="E34" s="2"/>
      <c r="F34" s="2"/>
      <c r="G34" s="2"/>
      <c r="H34" s="2"/>
      <c r="I34" s="2"/>
      <c r="J34" s="2"/>
      <c r="K34" s="2"/>
      <c r="L34" s="2"/>
      <c r="M34" s="2"/>
      <c r="N34" s="2"/>
      <c r="O34" s="2"/>
      <c r="P34" s="2"/>
      <c r="Q34" s="2"/>
      <c r="R34" s="2"/>
      <c r="S34" s="2"/>
      <c r="T34" s="2"/>
      <c r="U34" s="2"/>
      <c r="V34" s="2"/>
      <c r="W34" s="2"/>
      <c r="X34" s="2"/>
      <c r="Y34" s="2"/>
      <c r="AA34" s="12"/>
      <c r="AB34" s="12"/>
      <c r="AC34" s="12"/>
      <c r="AD34" s="12"/>
      <c r="AE34" s="12"/>
    </row>
    <row r="35" spans="2:41" ht="16" x14ac:dyDescent="0.2">
      <c r="B35" s="315" t="s">
        <v>114</v>
      </c>
      <c r="C35" s="315"/>
      <c r="D35" s="315"/>
      <c r="E35" s="315"/>
      <c r="F35" s="315"/>
      <c r="G35" s="315"/>
      <c r="H35" s="315"/>
      <c r="I35" s="315"/>
      <c r="J35" s="315"/>
      <c r="K35" s="315"/>
      <c r="L35" s="315"/>
      <c r="M35" s="315"/>
      <c r="N35" s="315"/>
      <c r="O35" s="315"/>
      <c r="P35" s="315"/>
      <c r="Q35" s="315"/>
      <c r="R35" s="315"/>
      <c r="S35" s="315"/>
      <c r="T35" s="315"/>
      <c r="U35" s="315"/>
      <c r="V35" s="315"/>
      <c r="W35" s="315"/>
      <c r="X35" s="315"/>
      <c r="Y35" s="315"/>
      <c r="Z35" s="315"/>
      <c r="AA35" s="315"/>
      <c r="AB35" s="315"/>
      <c r="AC35" s="315"/>
      <c r="AD35" s="315"/>
      <c r="AE35" s="315"/>
      <c r="AF35" s="315"/>
      <c r="AG35" s="315"/>
      <c r="AH35" s="315"/>
      <c r="AI35" s="315"/>
      <c r="AJ35" s="315"/>
      <c r="AK35" s="315"/>
      <c r="AL35" s="315"/>
      <c r="AM35" s="315"/>
      <c r="AN35" s="315"/>
      <c r="AO35" s="315"/>
    </row>
    <row r="36" spans="2:41" x14ac:dyDescent="0.2">
      <c r="D36" s="2"/>
      <c r="E36" s="2"/>
      <c r="F36" s="2"/>
      <c r="G36" s="2"/>
      <c r="H36" s="2"/>
      <c r="I36" s="2"/>
      <c r="J36" s="2"/>
      <c r="K36" s="2"/>
      <c r="L36" s="2"/>
      <c r="M36" s="2"/>
      <c r="N36" s="2"/>
      <c r="O36" s="2"/>
      <c r="P36" s="2"/>
      <c r="Q36" s="2"/>
      <c r="R36" s="2"/>
      <c r="S36" s="2"/>
      <c r="T36" s="2"/>
      <c r="U36" s="2"/>
      <c r="V36" s="2"/>
      <c r="W36" s="2"/>
      <c r="X36" s="2"/>
      <c r="Y36" s="2"/>
      <c r="AA36" s="12"/>
      <c r="AB36" s="12"/>
      <c r="AC36" s="12"/>
      <c r="AD36" s="12"/>
      <c r="AE36" s="12"/>
    </row>
    <row r="37" spans="2:41" x14ac:dyDescent="0.2">
      <c r="D37" s="2"/>
      <c r="E37" s="2"/>
      <c r="F37" s="2"/>
      <c r="G37" s="2"/>
      <c r="H37" s="2"/>
      <c r="I37" s="2"/>
      <c r="J37" s="2"/>
      <c r="K37" s="2"/>
      <c r="L37" s="2"/>
      <c r="M37" s="2"/>
      <c r="N37" s="2"/>
      <c r="O37" s="2"/>
      <c r="P37" s="2"/>
      <c r="Q37" s="2"/>
      <c r="R37" s="2"/>
      <c r="S37" s="2"/>
      <c r="T37" s="2"/>
      <c r="U37" s="2"/>
      <c r="V37" s="2"/>
      <c r="W37" s="2"/>
      <c r="X37" s="2"/>
      <c r="Y37" s="2"/>
      <c r="AA37" s="12"/>
      <c r="AB37" s="12"/>
      <c r="AC37" s="12"/>
      <c r="AD37" s="12"/>
      <c r="AE37" s="12"/>
    </row>
    <row r="38" spans="2:41" x14ac:dyDescent="0.2">
      <c r="D38" s="2"/>
      <c r="E38" s="2"/>
      <c r="F38" s="2"/>
      <c r="G38" s="2"/>
      <c r="H38" s="2"/>
      <c r="I38" s="2"/>
      <c r="J38" s="2"/>
      <c r="K38" s="2"/>
      <c r="L38" s="2"/>
      <c r="M38" s="2"/>
      <c r="N38" s="2"/>
      <c r="O38" s="2"/>
      <c r="P38" s="2"/>
      <c r="Q38" s="2"/>
      <c r="R38" s="2"/>
      <c r="S38" s="2"/>
      <c r="T38" s="2"/>
      <c r="U38" s="2"/>
      <c r="V38" s="2"/>
      <c r="W38" s="2"/>
      <c r="X38" s="2"/>
      <c r="Y38" s="2"/>
      <c r="AA38" s="12"/>
      <c r="AB38" s="12"/>
      <c r="AC38" s="12"/>
      <c r="AD38" s="12"/>
      <c r="AE38" s="12"/>
    </row>
    <row r="39" spans="2:41" x14ac:dyDescent="0.2">
      <c r="D39" s="2"/>
      <c r="E39" s="2"/>
      <c r="F39" s="2"/>
      <c r="G39" s="2"/>
      <c r="H39" s="2"/>
      <c r="I39" s="2"/>
      <c r="J39" s="2"/>
      <c r="K39" s="2"/>
      <c r="L39" s="2"/>
      <c r="M39" s="2"/>
      <c r="N39" s="2"/>
      <c r="O39" s="2"/>
      <c r="P39" s="2"/>
      <c r="Q39" s="2"/>
      <c r="R39" s="2"/>
      <c r="S39" s="2"/>
      <c r="T39" s="2"/>
      <c r="U39" s="2"/>
      <c r="V39" s="2"/>
      <c r="W39" s="2"/>
      <c r="X39" s="2"/>
      <c r="Y39" s="2"/>
      <c r="AA39" s="12"/>
      <c r="AB39" s="12"/>
      <c r="AC39" s="12"/>
      <c r="AD39" s="12"/>
      <c r="AE39" s="12"/>
    </row>
    <row r="40" spans="2:41" x14ac:dyDescent="0.2">
      <c r="D40" s="2"/>
      <c r="E40" s="2"/>
      <c r="F40" s="2"/>
      <c r="G40" s="2"/>
      <c r="H40" s="2"/>
      <c r="I40" s="2"/>
      <c r="J40" s="2"/>
      <c r="K40" s="2"/>
      <c r="L40" s="2"/>
      <c r="M40" s="2"/>
      <c r="N40" s="2"/>
      <c r="O40" s="2"/>
      <c r="P40" s="2"/>
      <c r="Q40" s="2"/>
      <c r="R40" s="2"/>
      <c r="S40" s="2"/>
      <c r="T40" s="2"/>
      <c r="U40" s="2"/>
      <c r="V40" s="2"/>
      <c r="W40" s="2"/>
      <c r="X40" s="2"/>
      <c r="Y40" s="2"/>
      <c r="AA40" s="12"/>
      <c r="AB40" s="12"/>
      <c r="AC40" s="12"/>
      <c r="AD40" s="12"/>
      <c r="AE40" s="12"/>
    </row>
    <row r="41" spans="2:41" x14ac:dyDescent="0.2">
      <c r="D41" s="2"/>
      <c r="E41" s="2"/>
      <c r="F41" s="2"/>
      <c r="G41" s="2"/>
      <c r="H41" s="2"/>
      <c r="I41" s="2"/>
      <c r="J41" s="2"/>
      <c r="K41" s="2"/>
      <c r="L41" s="2"/>
      <c r="M41" s="2"/>
      <c r="N41" s="2"/>
      <c r="O41" s="2"/>
      <c r="P41" s="2"/>
      <c r="Q41" s="2"/>
      <c r="R41" s="2"/>
      <c r="S41" s="2"/>
      <c r="T41" s="2"/>
      <c r="U41" s="2"/>
      <c r="V41" s="2"/>
      <c r="W41" s="2"/>
      <c r="X41" s="2"/>
      <c r="Y41" s="2"/>
      <c r="AA41" s="12"/>
      <c r="AB41" s="12"/>
      <c r="AC41" s="12"/>
      <c r="AD41" s="12"/>
      <c r="AE41" s="12"/>
    </row>
    <row r="42" spans="2:41" x14ac:dyDescent="0.2">
      <c r="D42" s="2"/>
      <c r="E42" s="2"/>
      <c r="F42" s="2"/>
      <c r="G42" s="2"/>
      <c r="H42" s="2"/>
      <c r="I42" s="2"/>
      <c r="J42" s="2"/>
      <c r="K42" s="2"/>
      <c r="L42" s="2"/>
      <c r="M42" s="2"/>
      <c r="N42" s="2"/>
      <c r="O42" s="2"/>
      <c r="P42" s="2"/>
      <c r="Q42" s="2"/>
      <c r="R42" s="2"/>
      <c r="S42" s="2"/>
      <c r="T42" s="2"/>
      <c r="U42" s="2"/>
      <c r="V42" s="2"/>
      <c r="W42" s="2"/>
      <c r="X42" s="2"/>
      <c r="Y42" s="2"/>
      <c r="AA42" s="12"/>
      <c r="AB42" s="12"/>
      <c r="AC42" s="12"/>
      <c r="AD42" s="12"/>
      <c r="AE42" s="12"/>
    </row>
    <row r="43" spans="2:41" x14ac:dyDescent="0.2">
      <c r="D43" s="2"/>
      <c r="E43" s="2"/>
      <c r="F43" s="2"/>
      <c r="G43" s="2"/>
      <c r="H43" s="2"/>
      <c r="I43" s="2"/>
      <c r="J43" s="2"/>
      <c r="K43" s="2"/>
      <c r="L43" s="2"/>
      <c r="M43" s="2"/>
      <c r="N43" s="2"/>
      <c r="O43" s="2"/>
      <c r="P43" s="2"/>
      <c r="Q43" s="2"/>
      <c r="R43" s="2"/>
      <c r="S43" s="2"/>
      <c r="T43" s="2"/>
      <c r="U43" s="2"/>
      <c r="V43" s="2"/>
      <c r="W43" s="2"/>
      <c r="X43" s="2"/>
      <c r="Y43" s="2"/>
      <c r="AA43" s="12"/>
      <c r="AB43" s="12"/>
      <c r="AC43" s="12"/>
      <c r="AD43" s="12"/>
      <c r="AE43" s="12"/>
    </row>
    <row r="44" spans="2:41" x14ac:dyDescent="0.2">
      <c r="D44" s="2"/>
      <c r="E44" s="2"/>
      <c r="F44" s="2"/>
      <c r="G44" s="2"/>
      <c r="H44" s="2"/>
      <c r="I44" s="2"/>
      <c r="J44" s="2"/>
      <c r="K44" s="2"/>
      <c r="L44" s="2"/>
      <c r="M44" s="2"/>
      <c r="N44" s="2"/>
      <c r="O44" s="2"/>
      <c r="P44" s="2"/>
      <c r="Q44" s="2"/>
      <c r="R44" s="2"/>
      <c r="S44" s="2"/>
      <c r="T44" s="2"/>
      <c r="U44" s="2"/>
      <c r="V44" s="2"/>
      <c r="W44" s="2"/>
      <c r="X44" s="2"/>
      <c r="Y44" s="2"/>
      <c r="AA44" s="12"/>
      <c r="AB44" s="12"/>
      <c r="AC44" s="12"/>
      <c r="AD44" s="12"/>
      <c r="AE44" s="12"/>
    </row>
    <row r="45" spans="2:41" x14ac:dyDescent="0.2">
      <c r="D45" s="2"/>
      <c r="E45" s="2"/>
      <c r="F45" s="2"/>
      <c r="G45" s="2"/>
      <c r="H45" s="2"/>
      <c r="I45" s="2"/>
      <c r="J45" s="2"/>
      <c r="K45" s="2"/>
      <c r="L45" s="2"/>
      <c r="M45" s="2"/>
      <c r="N45" s="2"/>
      <c r="O45" s="2"/>
      <c r="P45" s="2"/>
      <c r="Q45" s="2"/>
      <c r="R45" s="2"/>
      <c r="S45" s="2"/>
      <c r="T45" s="2"/>
      <c r="U45" s="2"/>
      <c r="V45" s="2"/>
      <c r="W45" s="2"/>
      <c r="X45" s="2"/>
      <c r="Y45" s="2"/>
      <c r="AA45" s="12"/>
      <c r="AB45" s="12"/>
      <c r="AC45" s="12"/>
      <c r="AD45" s="12"/>
      <c r="AE45" s="12"/>
    </row>
    <row r="46" spans="2:41" x14ac:dyDescent="0.2">
      <c r="D46" s="2"/>
      <c r="E46" s="2"/>
      <c r="F46" s="2"/>
      <c r="G46" s="2"/>
      <c r="H46" s="2"/>
      <c r="I46" s="2"/>
      <c r="J46" s="2"/>
      <c r="K46" s="2"/>
      <c r="L46" s="2"/>
      <c r="M46" s="2"/>
      <c r="N46" s="2"/>
      <c r="O46" s="2"/>
      <c r="P46" s="2"/>
      <c r="Q46" s="2"/>
      <c r="R46" s="2"/>
      <c r="S46" s="2"/>
      <c r="T46" s="2"/>
      <c r="U46" s="2"/>
      <c r="V46" s="2"/>
      <c r="W46" s="2"/>
      <c r="X46" s="2"/>
      <c r="Y46" s="2"/>
      <c r="AA46" s="12"/>
      <c r="AB46" s="12"/>
      <c r="AC46" s="12"/>
      <c r="AD46" s="12"/>
      <c r="AE46" s="12"/>
    </row>
    <row r="47" spans="2:41" x14ac:dyDescent="0.2">
      <c r="D47" s="2"/>
      <c r="E47" s="2"/>
      <c r="F47" s="2"/>
      <c r="G47" s="2"/>
      <c r="H47" s="2"/>
      <c r="I47" s="2"/>
      <c r="J47" s="2"/>
      <c r="K47" s="2"/>
      <c r="L47" s="2"/>
      <c r="M47" s="2"/>
      <c r="N47" s="2"/>
      <c r="O47" s="2"/>
      <c r="P47" s="2"/>
      <c r="Q47" s="2"/>
      <c r="R47" s="2"/>
      <c r="S47" s="2"/>
      <c r="T47" s="2"/>
      <c r="U47" s="2"/>
      <c r="V47" s="2"/>
      <c r="W47" s="2"/>
      <c r="X47" s="2"/>
      <c r="Y47" s="2"/>
      <c r="AA47" s="12"/>
      <c r="AB47" s="12"/>
      <c r="AC47" s="12"/>
      <c r="AD47" s="12"/>
      <c r="AE47" s="12"/>
    </row>
    <row r="48" spans="2:41" x14ac:dyDescent="0.2">
      <c r="D48" s="2"/>
      <c r="E48" s="2"/>
      <c r="F48" s="2"/>
      <c r="G48" s="2"/>
      <c r="H48" s="2"/>
      <c r="I48" s="2"/>
      <c r="J48" s="2"/>
      <c r="K48" s="2"/>
      <c r="L48" s="2"/>
      <c r="M48" s="2"/>
      <c r="N48" s="2"/>
      <c r="O48" s="2"/>
      <c r="P48" s="2"/>
      <c r="Q48" s="2"/>
      <c r="R48" s="2"/>
      <c r="S48" s="2"/>
      <c r="T48" s="2"/>
      <c r="U48" s="2"/>
      <c r="V48" s="2"/>
      <c r="W48" s="2"/>
      <c r="X48" s="2"/>
      <c r="Y48" s="2"/>
      <c r="AA48" s="12"/>
      <c r="AB48" s="12"/>
      <c r="AC48" s="12"/>
      <c r="AD48" s="12"/>
      <c r="AE48" s="12"/>
    </row>
    <row r="49" spans="2:41" x14ac:dyDescent="0.2">
      <c r="D49" s="2"/>
      <c r="E49" s="2"/>
      <c r="F49" s="2"/>
      <c r="G49" s="2"/>
      <c r="H49" s="2"/>
      <c r="I49" s="2"/>
      <c r="J49" s="2"/>
      <c r="K49" s="2"/>
      <c r="L49" s="2"/>
      <c r="M49" s="2"/>
      <c r="N49" s="2"/>
      <c r="O49" s="2"/>
      <c r="P49" s="2"/>
      <c r="Q49" s="2"/>
      <c r="R49" s="2"/>
      <c r="S49" s="2"/>
      <c r="T49" s="2"/>
      <c r="U49" s="2"/>
      <c r="V49" s="2"/>
      <c r="W49" s="2"/>
      <c r="X49" s="2"/>
      <c r="Y49" s="2"/>
      <c r="AA49" s="12"/>
      <c r="AB49" s="12"/>
      <c r="AC49" s="12"/>
      <c r="AD49" s="12"/>
      <c r="AE49" s="12"/>
    </row>
    <row r="50" spans="2:41" x14ac:dyDescent="0.2">
      <c r="D50" s="2"/>
      <c r="E50" s="2"/>
      <c r="F50" s="2"/>
      <c r="G50" s="2"/>
      <c r="H50" s="2"/>
      <c r="I50" s="2"/>
      <c r="J50" s="2"/>
      <c r="K50" s="2"/>
      <c r="L50" s="2"/>
      <c r="M50" s="2"/>
      <c r="N50" s="2"/>
      <c r="O50" s="2"/>
      <c r="P50" s="2"/>
      <c r="Q50" s="2"/>
      <c r="R50" s="2"/>
      <c r="S50" s="2"/>
      <c r="T50" s="2"/>
      <c r="U50" s="2"/>
      <c r="V50" s="2"/>
      <c r="W50" s="2"/>
      <c r="X50" s="2"/>
      <c r="Y50" s="2"/>
      <c r="AA50" s="12"/>
      <c r="AB50" s="12"/>
      <c r="AC50" s="12"/>
      <c r="AD50" s="12"/>
      <c r="AE50" s="12"/>
    </row>
    <row r="51" spans="2:41" x14ac:dyDescent="0.2">
      <c r="D51" s="2"/>
      <c r="E51" s="2"/>
      <c r="F51" s="2"/>
      <c r="G51" s="2"/>
      <c r="H51" s="2"/>
      <c r="I51" s="2"/>
      <c r="J51" s="2"/>
      <c r="K51" s="2"/>
      <c r="L51" s="2"/>
      <c r="M51" s="2"/>
      <c r="N51" s="2"/>
      <c r="O51" s="2"/>
      <c r="P51" s="2"/>
      <c r="Q51" s="2"/>
      <c r="R51" s="2"/>
      <c r="S51" s="2"/>
      <c r="T51" s="2"/>
      <c r="U51" s="2"/>
      <c r="V51" s="2"/>
      <c r="W51" s="2"/>
      <c r="X51" s="2"/>
      <c r="Y51" s="2"/>
      <c r="AA51" s="12"/>
      <c r="AB51" s="12"/>
      <c r="AC51" s="12"/>
      <c r="AD51" s="12"/>
      <c r="AE51" s="12"/>
    </row>
    <row r="52" spans="2:41" x14ac:dyDescent="0.2">
      <c r="D52" s="2"/>
      <c r="E52" s="2"/>
      <c r="F52" s="2"/>
      <c r="G52" s="2"/>
      <c r="H52" s="2"/>
      <c r="I52" s="2"/>
      <c r="J52" s="2"/>
      <c r="K52" s="2"/>
      <c r="L52" s="2"/>
      <c r="M52" s="2"/>
      <c r="N52" s="2"/>
      <c r="O52" s="2"/>
      <c r="P52" s="2"/>
      <c r="Q52" s="2"/>
      <c r="R52" s="2"/>
      <c r="S52" s="2"/>
      <c r="T52" s="2"/>
      <c r="U52" s="2"/>
      <c r="V52" s="2"/>
      <c r="W52" s="2"/>
      <c r="X52" s="2"/>
      <c r="Y52" s="2"/>
      <c r="AA52" s="12"/>
      <c r="AB52" s="12"/>
      <c r="AC52" s="12"/>
      <c r="AD52" s="12"/>
      <c r="AE52" s="12"/>
    </row>
    <row r="53" spans="2:41" x14ac:dyDescent="0.2">
      <c r="D53" s="2"/>
      <c r="E53" s="2"/>
      <c r="F53" s="2"/>
      <c r="G53" s="2"/>
      <c r="H53" s="2"/>
      <c r="I53" s="2"/>
      <c r="J53" s="2"/>
      <c r="K53" s="2"/>
      <c r="L53" s="2"/>
      <c r="M53" s="2"/>
      <c r="N53" s="2"/>
      <c r="O53" s="2"/>
      <c r="P53" s="2"/>
      <c r="Q53" s="2"/>
      <c r="R53" s="2"/>
      <c r="S53" s="2"/>
      <c r="T53" s="2"/>
      <c r="U53" s="2"/>
      <c r="V53" s="2"/>
      <c r="W53" s="2"/>
      <c r="X53" s="2"/>
      <c r="Y53" s="2"/>
      <c r="AA53" s="12"/>
      <c r="AB53" s="12"/>
      <c r="AC53" s="12"/>
      <c r="AD53" s="12"/>
      <c r="AE53" s="12"/>
    </row>
    <row r="54" spans="2:41" x14ac:dyDescent="0.2">
      <c r="D54" s="2"/>
      <c r="E54" s="2"/>
      <c r="F54" s="2"/>
      <c r="G54" s="2"/>
      <c r="H54" s="2"/>
      <c r="I54" s="2"/>
      <c r="J54" s="2"/>
      <c r="K54" s="2"/>
      <c r="L54" s="2"/>
      <c r="M54" s="2"/>
      <c r="N54" s="2"/>
      <c r="O54" s="2"/>
      <c r="P54" s="2"/>
      <c r="Q54" s="2"/>
      <c r="R54" s="2"/>
      <c r="S54" s="2"/>
      <c r="T54" s="2"/>
      <c r="U54" s="2"/>
      <c r="V54" s="2"/>
      <c r="W54" s="2"/>
      <c r="X54" s="2"/>
      <c r="Y54" s="2"/>
      <c r="AA54" s="12"/>
      <c r="AB54" s="12"/>
      <c r="AC54" s="12"/>
      <c r="AD54" s="12"/>
      <c r="AE54" s="12"/>
    </row>
    <row r="55" spans="2:41" x14ac:dyDescent="0.2">
      <c r="D55" s="2"/>
      <c r="E55" s="2"/>
      <c r="F55" s="2"/>
      <c r="G55" s="2"/>
      <c r="H55" s="2"/>
      <c r="I55" s="2"/>
      <c r="J55" s="2"/>
      <c r="K55" s="2"/>
      <c r="L55" s="2"/>
      <c r="M55" s="2"/>
      <c r="N55" s="2"/>
      <c r="O55" s="2"/>
      <c r="P55" s="2"/>
      <c r="Q55" s="2"/>
      <c r="R55" s="2"/>
      <c r="S55" s="2"/>
      <c r="T55" s="2"/>
      <c r="U55" s="2"/>
      <c r="V55" s="2"/>
      <c r="W55" s="2"/>
      <c r="X55" s="2"/>
      <c r="Y55" s="2"/>
      <c r="AA55" s="12"/>
      <c r="AB55" s="12"/>
      <c r="AC55" s="12"/>
      <c r="AD55" s="12"/>
      <c r="AE55" s="12"/>
    </row>
    <row r="56" spans="2:41" x14ac:dyDescent="0.2">
      <c r="D56" s="2"/>
      <c r="E56" s="2"/>
      <c r="F56" s="2"/>
      <c r="G56" s="2"/>
      <c r="H56" s="2"/>
      <c r="I56" s="2"/>
      <c r="J56" s="2"/>
      <c r="K56" s="2"/>
      <c r="L56" s="2"/>
      <c r="M56" s="2"/>
      <c r="N56" s="2"/>
      <c r="O56" s="2"/>
      <c r="P56" s="2"/>
      <c r="Q56" s="2"/>
      <c r="R56" s="2"/>
      <c r="S56" s="2"/>
      <c r="T56" s="2"/>
      <c r="U56" s="2"/>
      <c r="V56" s="2"/>
      <c r="W56" s="2"/>
      <c r="X56" s="2"/>
      <c r="Y56" s="2"/>
      <c r="AA56" s="12"/>
      <c r="AB56" s="12"/>
      <c r="AC56" s="12"/>
      <c r="AD56" s="12"/>
      <c r="AE56" s="12"/>
    </row>
    <row r="57" spans="2:41" x14ac:dyDescent="0.2">
      <c r="D57" s="2"/>
      <c r="E57" s="2"/>
      <c r="F57" s="2"/>
      <c r="G57" s="2"/>
      <c r="H57" s="2"/>
      <c r="I57" s="2"/>
      <c r="J57" s="2"/>
      <c r="K57" s="2"/>
      <c r="L57" s="2"/>
      <c r="M57" s="2"/>
      <c r="N57" s="2"/>
      <c r="O57" s="2"/>
      <c r="P57" s="2"/>
      <c r="Q57" s="2"/>
      <c r="R57" s="2"/>
      <c r="S57" s="2"/>
      <c r="T57" s="2"/>
      <c r="U57" s="2"/>
      <c r="V57" s="2"/>
      <c r="W57" s="2"/>
      <c r="X57" s="2"/>
      <c r="Y57" s="2"/>
      <c r="AA57" s="12"/>
      <c r="AB57" s="12"/>
      <c r="AC57" s="12"/>
      <c r="AD57" s="12"/>
      <c r="AE57" s="12"/>
    </row>
    <row r="58" spans="2:41" x14ac:dyDescent="0.2">
      <c r="D58" s="2"/>
      <c r="E58" s="2"/>
      <c r="F58" s="2"/>
      <c r="G58" s="2"/>
      <c r="H58" s="2"/>
      <c r="I58" s="2"/>
      <c r="J58" s="2"/>
      <c r="K58" s="2"/>
      <c r="L58" s="2"/>
      <c r="M58" s="2"/>
      <c r="N58" s="2"/>
      <c r="O58" s="2"/>
      <c r="P58" s="2"/>
      <c r="Q58" s="2"/>
      <c r="R58" s="2"/>
      <c r="S58" s="2"/>
      <c r="T58" s="2"/>
      <c r="U58" s="2"/>
      <c r="V58" s="2"/>
      <c r="W58" s="2"/>
      <c r="X58" s="2"/>
      <c r="Y58" s="2"/>
      <c r="AA58" s="12"/>
      <c r="AB58" s="12"/>
      <c r="AC58" s="12"/>
      <c r="AD58" s="12"/>
      <c r="AE58" s="12"/>
    </row>
    <row r="59" spans="2:41" x14ac:dyDescent="0.2">
      <c r="D59" s="2"/>
      <c r="E59" s="2"/>
      <c r="F59" s="2"/>
      <c r="G59" s="2"/>
      <c r="H59" s="2"/>
      <c r="I59" s="2"/>
      <c r="J59" s="2"/>
      <c r="K59" s="2"/>
      <c r="L59" s="2"/>
      <c r="M59" s="2"/>
      <c r="N59" s="2"/>
      <c r="O59" s="2"/>
      <c r="P59" s="2"/>
      <c r="Q59" s="2"/>
      <c r="R59" s="2"/>
      <c r="S59" s="2"/>
      <c r="T59" s="2"/>
      <c r="U59" s="2"/>
      <c r="V59" s="2"/>
      <c r="W59" s="2"/>
      <c r="X59" s="2"/>
      <c r="Y59" s="2"/>
      <c r="AA59" s="12"/>
      <c r="AB59" s="12"/>
      <c r="AC59" s="12"/>
      <c r="AD59" s="12"/>
      <c r="AE59" s="12"/>
    </row>
    <row r="60" spans="2:41" x14ac:dyDescent="0.2">
      <c r="D60" s="2"/>
      <c r="E60" s="2"/>
      <c r="F60" s="2"/>
      <c r="G60" s="2"/>
      <c r="H60" s="2"/>
      <c r="I60" s="2"/>
      <c r="J60" s="2"/>
      <c r="K60" s="2"/>
      <c r="L60" s="2"/>
      <c r="M60" s="2"/>
      <c r="N60" s="2"/>
      <c r="O60" s="2"/>
      <c r="P60" s="2"/>
      <c r="Q60" s="2"/>
      <c r="R60" s="2"/>
      <c r="S60" s="2"/>
      <c r="T60" s="2"/>
      <c r="U60" s="2"/>
      <c r="V60" s="2"/>
      <c r="W60" s="2"/>
      <c r="X60" s="2"/>
      <c r="Y60" s="2"/>
      <c r="AA60" s="12"/>
      <c r="AB60" s="12"/>
      <c r="AC60" s="12"/>
      <c r="AD60" s="12"/>
      <c r="AE60" s="12"/>
    </row>
    <row r="61" spans="2:41" x14ac:dyDescent="0.2">
      <c r="D61" s="2"/>
      <c r="E61" s="2"/>
      <c r="F61" s="2"/>
      <c r="G61" s="2"/>
      <c r="H61" s="2"/>
      <c r="I61" s="2"/>
      <c r="J61" s="2"/>
      <c r="K61" s="2"/>
      <c r="L61" s="2"/>
      <c r="M61" s="2"/>
      <c r="N61" s="2"/>
      <c r="O61" s="2"/>
      <c r="P61" s="2"/>
      <c r="Q61" s="2"/>
      <c r="R61" s="2"/>
      <c r="S61" s="2"/>
      <c r="T61" s="2"/>
      <c r="U61" s="2"/>
      <c r="V61" s="2"/>
      <c r="W61" s="2"/>
      <c r="X61" s="2"/>
      <c r="Y61" s="2"/>
      <c r="AA61" s="12"/>
      <c r="AB61" s="12"/>
      <c r="AC61" s="12"/>
      <c r="AD61" s="12"/>
      <c r="AE61" s="12"/>
    </row>
    <row r="62" spans="2:41" x14ac:dyDescent="0.2">
      <c r="D62" s="2"/>
      <c r="E62" s="2"/>
      <c r="F62" s="2"/>
      <c r="G62" s="2"/>
      <c r="H62" s="2"/>
      <c r="I62" s="2"/>
      <c r="J62" s="2"/>
      <c r="K62" s="2"/>
      <c r="L62" s="2"/>
      <c r="M62" s="2"/>
      <c r="N62" s="2"/>
      <c r="O62" s="2"/>
      <c r="P62" s="2"/>
      <c r="Q62" s="2"/>
      <c r="R62" s="2"/>
      <c r="S62" s="2"/>
      <c r="T62" s="2"/>
      <c r="U62" s="2"/>
      <c r="V62" s="2"/>
      <c r="W62" s="2"/>
      <c r="X62" s="2"/>
      <c r="Y62" s="2"/>
      <c r="AA62" s="12"/>
      <c r="AB62" s="12"/>
      <c r="AC62" s="12"/>
      <c r="AD62" s="12"/>
      <c r="AE62" s="12"/>
    </row>
    <row r="63" spans="2:41" x14ac:dyDescent="0.2">
      <c r="D63" s="2"/>
      <c r="E63" s="2"/>
      <c r="F63" s="2"/>
      <c r="G63" s="2"/>
      <c r="H63" s="2"/>
      <c r="I63" s="2"/>
      <c r="J63" s="2"/>
      <c r="K63" s="2"/>
      <c r="L63" s="2"/>
      <c r="M63" s="2"/>
      <c r="N63" s="2"/>
      <c r="O63" s="2"/>
      <c r="P63" s="2"/>
      <c r="Q63" s="2"/>
      <c r="R63" s="2"/>
      <c r="S63" s="2"/>
      <c r="T63" s="2"/>
      <c r="U63" s="2"/>
      <c r="V63" s="2"/>
      <c r="W63" s="2"/>
      <c r="X63" s="2"/>
      <c r="Y63" s="2"/>
      <c r="AA63" s="12"/>
      <c r="AB63" s="12"/>
      <c r="AC63" s="12"/>
      <c r="AD63" s="12"/>
      <c r="AE63" s="12"/>
    </row>
    <row r="64" spans="2:41" ht="16" x14ac:dyDescent="0.2">
      <c r="B64" s="315" t="s">
        <v>115</v>
      </c>
      <c r="C64" s="315"/>
      <c r="D64" s="315"/>
      <c r="E64" s="315"/>
      <c r="F64" s="315"/>
      <c r="G64" s="315"/>
      <c r="H64" s="315"/>
      <c r="I64" s="315"/>
      <c r="J64" s="315"/>
      <c r="K64" s="315"/>
      <c r="L64" s="315"/>
      <c r="M64" s="315"/>
      <c r="N64" s="315"/>
      <c r="O64" s="315"/>
      <c r="P64" s="315"/>
      <c r="Q64" s="315"/>
      <c r="R64" s="315"/>
      <c r="S64" s="315"/>
      <c r="T64" s="315"/>
      <c r="U64" s="315"/>
      <c r="V64" s="315"/>
      <c r="W64" s="315"/>
      <c r="X64" s="315"/>
      <c r="Y64" s="315"/>
      <c r="Z64" s="315"/>
      <c r="AA64" s="315"/>
      <c r="AB64" s="315"/>
      <c r="AC64" s="315"/>
      <c r="AD64" s="315"/>
      <c r="AE64" s="315"/>
      <c r="AF64" s="315"/>
      <c r="AG64" s="315"/>
      <c r="AH64" s="315"/>
      <c r="AI64" s="315"/>
      <c r="AJ64" s="315"/>
      <c r="AK64" s="315"/>
      <c r="AL64" s="315"/>
      <c r="AM64" s="315"/>
      <c r="AN64" s="315"/>
      <c r="AO64" s="315"/>
    </row>
    <row r="65" spans="2:5" x14ac:dyDescent="0.2">
      <c r="C65" s="76">
        <f>$Y$33/10^3</f>
        <v>213.2258302125592</v>
      </c>
      <c r="D65" s="75">
        <f>$AE$33</f>
        <v>0.30871957285060136</v>
      </c>
      <c r="E65" s="98">
        <f>$Y$23</f>
        <v>15.914910077368692</v>
      </c>
    </row>
    <row r="66" spans="2:5" x14ac:dyDescent="0.2">
      <c r="B66" t="s">
        <v>3</v>
      </c>
      <c r="C66" s="76">
        <f t="dataTable" ref="C66:E70" dt2D="0" dtr="0" r1="T1"/>
        <v>6.5048164465026801</v>
      </c>
      <c r="D66" s="75">
        <v>0.10834493777551524</v>
      </c>
      <c r="E66" s="98">
        <v>0</v>
      </c>
    </row>
    <row r="67" spans="2:5" x14ac:dyDescent="0.2">
      <c r="B67" t="s">
        <v>4</v>
      </c>
      <c r="C67" s="76">
        <v>19.160762026075282</v>
      </c>
      <c r="D67" s="75">
        <v>0.16685458955265897</v>
      </c>
      <c r="E67" s="98">
        <v>0.98805319617612719</v>
      </c>
    </row>
    <row r="68" spans="2:5" x14ac:dyDescent="0.2">
      <c r="B68" t="s">
        <v>5</v>
      </c>
      <c r="C68" s="76">
        <v>107.75238108308346</v>
      </c>
      <c r="D68" s="75">
        <v>0.26686896104470104</v>
      </c>
      <c r="E68" s="98">
        <v>7.9044255694090175</v>
      </c>
    </row>
    <row r="69" spans="2:5" x14ac:dyDescent="0.2">
      <c r="B69" t="s">
        <v>6</v>
      </c>
      <c r="C69" s="76">
        <v>158.48442332368464</v>
      </c>
      <c r="D69" s="75">
        <v>0.29035951777444047</v>
      </c>
      <c r="E69" s="98">
        <v>11.803608884838194</v>
      </c>
    </row>
    <row r="70" spans="2:5" x14ac:dyDescent="0.2">
      <c r="B70" t="s">
        <v>7</v>
      </c>
      <c r="C70" s="76">
        <v>213.2258302125592</v>
      </c>
      <c r="D70" s="75">
        <v>0.30871957285060136</v>
      </c>
      <c r="E70" s="98">
        <v>15.914910077368692</v>
      </c>
    </row>
  </sheetData>
  <mergeCells count="7">
    <mergeCell ref="AK3:AO3"/>
    <mergeCell ref="B64:AO64"/>
    <mergeCell ref="B35:AO35"/>
    <mergeCell ref="AA18:AE18"/>
    <mergeCell ref="AG18:AH18"/>
    <mergeCell ref="B3:AH3"/>
    <mergeCell ref="B17:AH17"/>
  </mergeCells>
  <conditionalFormatting sqref="E11:Y11">
    <cfRule type="expression" dxfId="5" priority="5">
      <formula>E11=$T$1</formula>
    </cfRule>
  </conditionalFormatting>
  <hyperlinks>
    <hyperlink ref="BN1" location="SelectedCase" display="SelectedCase" xr:uid="{5F597FB7-1595-4139-A56C-75455779F1DF}"/>
    <hyperlink ref="AG1" location="SelectedCase" display="SelectedCase" xr:uid="{0CE95A45-BB37-44C8-B0D6-14694CE58485}"/>
  </hyperlinks>
  <pageMargins left="0.7" right="0.7" top="0.75" bottom="0.75" header="0.3" footer="0.3"/>
  <pageSetup scale="33" orientation="portrait" r:id="rId1"/>
  <ignoredErrors>
    <ignoredError sqref="D28" 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1D00EF4-8D29-4202-83D4-D7E85FA18272}">
          <x14:formula1>
            <xm:f>Cover!$A$5:$E$5</xm:f>
          </x14:formula1>
          <xm:sqref>T1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D570E-A21A-4044-8772-8EE6880423B0}">
  <sheetPr codeName="Sheet7">
    <tabColor theme="5" tint="0.79998168889431442"/>
    <pageSetUpPr fitToPage="1"/>
  </sheetPr>
  <dimension ref="B1:AR145"/>
  <sheetViews>
    <sheetView showGridLines="0" zoomScale="140" zoomScaleNormal="140" zoomScaleSheetLayoutView="85" workbookViewId="0">
      <pane ySplit="1" topLeftCell="A2" activePane="bottomLeft" state="frozen"/>
      <selection pane="bottomLeft"/>
    </sheetView>
  </sheetViews>
  <sheetFormatPr baseColWidth="10" defaultColWidth="8.83203125" defaultRowHeight="15" outlineLevelRow="1" outlineLevelCol="1" x14ac:dyDescent="0.2"/>
  <cols>
    <col min="1" max="1" width="0.83203125" customWidth="1"/>
    <col min="2" max="5" width="13.1640625" customWidth="1"/>
    <col min="6" max="9" width="14.5" hidden="1" customWidth="1" outlineLevel="1"/>
    <col min="10" max="10" width="13.1640625" customWidth="1" collapsed="1"/>
    <col min="11" max="14" width="14.5" hidden="1" customWidth="1" outlineLevel="1"/>
    <col min="15" max="15" width="11.33203125" customWidth="1" collapsed="1"/>
    <col min="16" max="19" width="14.5" hidden="1" customWidth="1" outlineLevel="1"/>
    <col min="20" max="20" width="13.1640625" customWidth="1" collapsed="1"/>
    <col min="21" max="24" width="14.5" hidden="1" customWidth="1" outlineLevel="1"/>
    <col min="25" max="25" width="13.1640625" customWidth="1" collapsed="1"/>
    <col min="26" max="26" width="1.6640625" customWidth="1"/>
    <col min="27" max="27" width="10.33203125" hidden="1" customWidth="1" outlineLevel="1"/>
    <col min="28" max="30" width="8.83203125" hidden="1" customWidth="1" outlineLevel="1"/>
    <col min="31" max="31" width="13.1640625" customWidth="1" collapsed="1"/>
    <col min="32" max="32" width="1.6640625" hidden="1" customWidth="1" outlineLevel="1"/>
    <col min="33" max="34" width="13.1640625" hidden="1" customWidth="1" outlineLevel="1"/>
    <col min="35" max="35" width="1.6640625" customWidth="1" collapsed="1"/>
    <col min="36" max="36" width="11.83203125" customWidth="1"/>
    <col min="37" max="37" width="15.33203125" customWidth="1"/>
    <col min="38" max="42" width="11.83203125" customWidth="1"/>
    <col min="43" max="43" width="8.1640625" bestFit="1" customWidth="1"/>
    <col min="44" max="44" width="9.1640625" customWidth="1"/>
  </cols>
  <sheetData>
    <row r="1" spans="2:44" ht="27" x14ac:dyDescent="0.35">
      <c r="B1" s="267" t="s">
        <v>20</v>
      </c>
      <c r="C1" s="267"/>
      <c r="D1" s="292" t="s">
        <v>116</v>
      </c>
      <c r="E1" s="147"/>
      <c r="F1" s="200"/>
      <c r="G1" s="200"/>
      <c r="H1" s="200"/>
      <c r="I1" s="200"/>
      <c r="K1" s="147"/>
      <c r="L1" s="147"/>
      <c r="M1" s="147"/>
      <c r="N1" s="147"/>
      <c r="O1" s="275" t="s">
        <v>85</v>
      </c>
      <c r="P1" s="147"/>
      <c r="Q1" s="147"/>
      <c r="R1" s="147"/>
      <c r="S1" s="147"/>
      <c r="T1" s="197" t="s">
        <v>5</v>
      </c>
      <c r="U1" s="147"/>
      <c r="V1" s="147"/>
      <c r="W1" s="147"/>
      <c r="X1" s="147"/>
      <c r="Z1" s="147"/>
      <c r="AA1" s="147"/>
      <c r="AB1" s="147"/>
      <c r="AC1" s="147"/>
      <c r="AD1" s="147"/>
      <c r="AE1" s="277" t="s">
        <v>86</v>
      </c>
      <c r="AF1" s="278"/>
      <c r="AG1" s="278"/>
      <c r="AH1" s="278"/>
      <c r="AI1" s="270"/>
      <c r="AJ1" s="276" t="str">
        <f>SelectedCase</f>
        <v>Base</v>
      </c>
      <c r="AK1" s="147"/>
      <c r="AL1" s="147"/>
      <c r="AM1" s="147"/>
      <c r="AN1" s="147"/>
      <c r="AO1" s="147"/>
      <c r="AP1" s="147"/>
    </row>
    <row r="2" spans="2:44" ht="4" customHeight="1" x14ac:dyDescent="0.2"/>
    <row r="3" spans="2:44" ht="16" x14ac:dyDescent="0.2">
      <c r="B3" s="315" t="s">
        <v>21</v>
      </c>
      <c r="C3" s="315"/>
      <c r="D3" s="315"/>
      <c r="E3" s="315"/>
      <c r="F3" s="315"/>
      <c r="G3" s="315"/>
      <c r="H3" s="315"/>
      <c r="I3" s="315"/>
      <c r="J3" s="315"/>
      <c r="K3" s="315"/>
      <c r="L3" s="315"/>
      <c r="M3" s="315"/>
      <c r="N3" s="315"/>
      <c r="O3" s="315"/>
      <c r="P3" s="315"/>
      <c r="Q3" s="315"/>
      <c r="R3" s="315"/>
      <c r="S3" s="315"/>
      <c r="T3" s="315"/>
      <c r="U3" s="315"/>
      <c r="V3" s="315"/>
      <c r="W3" s="315"/>
      <c r="X3" s="315"/>
      <c r="Y3" s="315"/>
      <c r="Z3" s="315"/>
      <c r="AA3" s="315"/>
      <c r="AB3" s="315"/>
      <c r="AC3" s="315"/>
      <c r="AD3" s="315"/>
      <c r="AE3" s="315"/>
      <c r="AF3" s="315"/>
      <c r="AG3" s="315"/>
      <c r="AH3" s="315"/>
      <c r="AJ3" s="315" t="s">
        <v>87</v>
      </c>
      <c r="AK3" s="315"/>
      <c r="AL3" s="315"/>
      <c r="AM3" s="315"/>
      <c r="AN3" s="315"/>
      <c r="AO3" s="315"/>
      <c r="AP3" s="315"/>
    </row>
    <row r="4" spans="2:44" ht="15" customHeight="1" x14ac:dyDescent="0.2">
      <c r="B4" t="s">
        <v>117</v>
      </c>
      <c r="D4" s="173">
        <v>100</v>
      </c>
      <c r="J4" t="s">
        <v>88</v>
      </c>
      <c r="O4" s="184">
        <v>0</v>
      </c>
      <c r="Y4" s="224" t="s">
        <v>118</v>
      </c>
      <c r="AE4" s="104">
        <v>0.4</v>
      </c>
      <c r="AJ4" s="185"/>
      <c r="AK4" s="317" t="s">
        <v>119</v>
      </c>
      <c r="AL4" s="318" t="s">
        <v>120</v>
      </c>
      <c r="AM4" s="186"/>
      <c r="AN4" s="186"/>
      <c r="AO4" s="186"/>
      <c r="AP4" s="186"/>
    </row>
    <row r="5" spans="2:44" x14ac:dyDescent="0.2">
      <c r="B5" t="s">
        <v>121</v>
      </c>
      <c r="D5" s="104">
        <v>0.05</v>
      </c>
      <c r="E5" s="38"/>
      <c r="J5" t="s">
        <v>122</v>
      </c>
      <c r="O5" s="173">
        <v>200</v>
      </c>
      <c r="T5" s="40"/>
      <c r="U5" s="39"/>
      <c r="Y5" s="28" t="s">
        <v>123</v>
      </c>
      <c r="AE5" s="210">
        <f>(1-AE4)*Macro!AD12</f>
        <v>1.2E-2</v>
      </c>
      <c r="AJ5" s="185" t="s">
        <v>35</v>
      </c>
      <c r="AK5" s="317"/>
      <c r="AL5" s="318"/>
      <c r="AM5" s="186" t="s">
        <v>91</v>
      </c>
      <c r="AN5" s="186" t="s">
        <v>92</v>
      </c>
      <c r="AO5" s="186" t="s">
        <v>93</v>
      </c>
      <c r="AP5" s="186" t="s">
        <v>94</v>
      </c>
    </row>
    <row r="6" spans="2:44" x14ac:dyDescent="0.2">
      <c r="B6" t="s">
        <v>124</v>
      </c>
      <c r="D6" s="173">
        <v>1000</v>
      </c>
      <c r="E6" s="25"/>
      <c r="J6" t="s">
        <v>125</v>
      </c>
      <c r="O6" s="104">
        <v>0.1</v>
      </c>
      <c r="T6" s="42"/>
      <c r="Y6" s="28" t="s">
        <v>126</v>
      </c>
      <c r="AE6" s="104">
        <v>0.37</v>
      </c>
      <c r="AJ6" s="11">
        <v>2024</v>
      </c>
      <c r="AK6" s="273">
        <f t="shared" ref="AK6:AK27" ca="1" si="0">HLOOKUP($AJ6,$D$19:$Y$48,30)/10^3</f>
        <v>0.10875451294117648</v>
      </c>
      <c r="AL6" s="229">
        <f t="shared" ref="AL6:AL27" ca="1" si="1">HLOOKUP($AJ6,$D$19:$Y$48,26)/10^3</f>
        <v>0.91428799999999999</v>
      </c>
      <c r="AM6" s="229">
        <f t="shared" ref="AM6:AM27" ca="1" si="2">HLOOKUP($AJ6,$D$19:$Y$48,6)/10^3</f>
        <v>0.10428800000000001</v>
      </c>
      <c r="AN6" s="229">
        <f t="shared" ref="AN6:AN27" ca="1" si="3">HLOOKUP($AJ6,$D$19:$Y$48,7)/10^3</f>
        <v>0.19</v>
      </c>
      <c r="AO6" s="229">
        <f t="shared" ref="AO6:AO27" ca="1" si="4">AM6-AN6</f>
        <v>-8.5711999999999997E-2</v>
      </c>
      <c r="AP6" s="279">
        <f t="shared" ref="AP6:AP27" ca="1" si="5">HLOOKUP($AJ6,$D$19:$Y$48,3)/10^3</f>
        <v>1.6044307692307693</v>
      </c>
    </row>
    <row r="7" spans="2:44" x14ac:dyDescent="0.2">
      <c r="B7" s="6" t="s">
        <v>127</v>
      </c>
      <c r="C7" s="6"/>
      <c r="D7" s="209">
        <f>D6/D4</f>
        <v>10</v>
      </c>
      <c r="E7" s="45"/>
      <c r="J7" s="58" t="s">
        <v>128</v>
      </c>
      <c r="O7" s="173">
        <v>50</v>
      </c>
      <c r="T7" s="46"/>
      <c r="U7" s="43"/>
      <c r="AJ7" s="188">
        <f t="shared" ref="AJ7:AJ8" si="6">AJ6+1</f>
        <v>2025</v>
      </c>
      <c r="AK7" s="274">
        <f t="shared" ca="1" si="0"/>
        <v>0.13028030512585084</v>
      </c>
      <c r="AL7" s="230">
        <f t="shared" ca="1" si="1"/>
        <v>1.0845279999999999</v>
      </c>
      <c r="AM7" s="230">
        <f t="shared" ca="1" si="2"/>
        <v>0.22452800000000003</v>
      </c>
      <c r="AN7" s="230">
        <f t="shared" ca="1" si="3"/>
        <v>0.19</v>
      </c>
      <c r="AO7" s="230">
        <f t="shared" ca="1" si="4"/>
        <v>3.4528000000000031E-2</v>
      </c>
      <c r="AP7" s="280">
        <f t="shared" ca="1" si="5"/>
        <v>2.3028512820512823</v>
      </c>
    </row>
    <row r="8" spans="2:44" x14ac:dyDescent="0.2">
      <c r="B8" t="s">
        <v>129</v>
      </c>
      <c r="D8" s="173">
        <v>100</v>
      </c>
      <c r="E8" s="45"/>
      <c r="J8" t="s">
        <v>130</v>
      </c>
      <c r="O8" s="39">
        <f>D6-O5+O7+O4*D22/10^3</f>
        <v>850</v>
      </c>
      <c r="T8" s="46"/>
      <c r="U8" s="43"/>
      <c r="AJ8" s="11">
        <f t="shared" si="6"/>
        <v>2026</v>
      </c>
      <c r="AK8" s="273">
        <f t="shared" ca="1" si="0"/>
        <v>0.15945097849929432</v>
      </c>
      <c r="AL8" s="229">
        <f t="shared" ca="1" si="1"/>
        <v>1.3159748</v>
      </c>
      <c r="AM8" s="229">
        <f t="shared" ca="1" si="2"/>
        <v>0.40347480000000002</v>
      </c>
      <c r="AN8" s="229">
        <f t="shared" ca="1" si="3"/>
        <v>0.19</v>
      </c>
      <c r="AO8" s="229">
        <f t="shared" ca="1" si="4"/>
        <v>0.21347480000000002</v>
      </c>
      <c r="AP8" s="279">
        <f t="shared" ca="1" si="5"/>
        <v>2.8055614080834421</v>
      </c>
      <c r="AR8" s="99"/>
    </row>
    <row r="9" spans="2:44" x14ac:dyDescent="0.2">
      <c r="B9" s="6" t="s">
        <v>131</v>
      </c>
      <c r="C9" s="6"/>
      <c r="D9" s="41">
        <f>O8*10^6/D8</f>
        <v>8500000</v>
      </c>
      <c r="E9" s="25"/>
      <c r="J9" s="42"/>
      <c r="O9" s="42"/>
      <c r="T9" s="42"/>
      <c r="AJ9" s="11">
        <f t="shared" ref="AJ9:AJ27" si="7">AJ8+1</f>
        <v>2027</v>
      </c>
      <c r="AK9" s="273">
        <f t="shared" ca="1" si="0"/>
        <v>0.1988874810505927</v>
      </c>
      <c r="AL9" s="229">
        <f t="shared" ca="1" si="1"/>
        <v>1.6293694599999999</v>
      </c>
      <c r="AM9" s="229">
        <f t="shared" ca="1" si="2"/>
        <v>0.66174445999999998</v>
      </c>
      <c r="AN9" s="229">
        <f t="shared" ca="1" si="3"/>
        <v>0.19</v>
      </c>
      <c r="AO9" s="229">
        <f t="shared" ca="1" si="4"/>
        <v>0.47174445999999998</v>
      </c>
      <c r="AP9" s="279">
        <f t="shared" ca="1" si="5"/>
        <v>3.1734062731346193</v>
      </c>
    </row>
    <row r="10" spans="2:44" x14ac:dyDescent="0.2">
      <c r="D10" s="35" t="s">
        <v>3</v>
      </c>
      <c r="E10" s="35" t="s">
        <v>4</v>
      </c>
      <c r="J10" s="35" t="s">
        <v>5</v>
      </c>
      <c r="O10" s="35" t="s">
        <v>6</v>
      </c>
      <c r="T10" s="35" t="s">
        <v>7</v>
      </c>
      <c r="V10" s="11" t="str">
        <f>T1</f>
        <v>BTC Maxi</v>
      </c>
      <c r="AJ10" s="11">
        <f t="shared" si="7"/>
        <v>2028</v>
      </c>
      <c r="AK10" s="273">
        <f t="shared" ca="1" si="0"/>
        <v>0.251774140753033</v>
      </c>
      <c r="AL10" s="229">
        <f t="shared" ca="1" si="1"/>
        <v>2.0498286054999997</v>
      </c>
      <c r="AM10" s="229">
        <f t="shared" ca="1" si="2"/>
        <v>1.0243223555000001</v>
      </c>
      <c r="AN10" s="229">
        <f t="shared" ca="1" si="3"/>
        <v>0.19</v>
      </c>
      <c r="AO10" s="229">
        <f t="shared" ca="1" si="4"/>
        <v>0.83432235550000011</v>
      </c>
      <c r="AP10" s="279">
        <f t="shared" ca="1" si="5"/>
        <v>3.4471259242082342</v>
      </c>
    </row>
    <row r="11" spans="2:44" ht="15" customHeight="1" x14ac:dyDescent="0.2">
      <c r="B11" t="s">
        <v>132</v>
      </c>
      <c r="D11" s="104">
        <v>0</v>
      </c>
      <c r="E11" s="104">
        <v>0.1</v>
      </c>
      <c r="F11" s="104"/>
      <c r="G11" s="104"/>
      <c r="H11" s="104"/>
      <c r="I11" s="104"/>
      <c r="J11" s="104">
        <v>0.8</v>
      </c>
      <c r="K11" s="104"/>
      <c r="L11" s="104"/>
      <c r="M11" s="104"/>
      <c r="N11" s="104"/>
      <c r="O11" s="104">
        <v>1</v>
      </c>
      <c r="P11" s="104"/>
      <c r="Q11" s="104"/>
      <c r="R11" s="104"/>
      <c r="S11" s="104"/>
      <c r="T11" s="104">
        <v>1</v>
      </c>
      <c r="V11" s="203">
        <f>INDEX($B$10:$T$15,MATCH(B11,$B$10:$B$15,0),MATCH($V$10,$B$10:$T$10,0))</f>
        <v>0.8</v>
      </c>
      <c r="AJ11" s="11">
        <f t="shared" si="7"/>
        <v>2029</v>
      </c>
      <c r="AK11" s="273">
        <f t="shared" ca="1" si="0"/>
        <v>0.32181976152356723</v>
      </c>
      <c r="AL11" s="229">
        <f t="shared" ca="1" si="1"/>
        <v>2.6065313851999998</v>
      </c>
      <c r="AM11" s="229">
        <f t="shared" ca="1" si="2"/>
        <v>1.5202498226999999</v>
      </c>
      <c r="AN11" s="229">
        <f t="shared" ca="1" si="3"/>
        <v>0.19</v>
      </c>
      <c r="AO11" s="229">
        <f t="shared" ca="1" si="4"/>
        <v>1.3302498226999999</v>
      </c>
      <c r="AP11" s="279">
        <f t="shared" ca="1" si="5"/>
        <v>3.6543271384413476</v>
      </c>
    </row>
    <row r="12" spans="2:44" x14ac:dyDescent="0.2">
      <c r="B12" t="s">
        <v>133</v>
      </c>
      <c r="D12" s="104">
        <v>0</v>
      </c>
      <c r="E12" s="104">
        <v>9.9999999999999978E-2</v>
      </c>
      <c r="F12" s="104">
        <v>1</v>
      </c>
      <c r="G12" s="104">
        <v>1</v>
      </c>
      <c r="H12" s="104">
        <v>1</v>
      </c>
      <c r="I12" s="104">
        <v>1</v>
      </c>
      <c r="J12" s="104">
        <v>0.8</v>
      </c>
      <c r="K12" s="104">
        <v>1</v>
      </c>
      <c r="L12" s="104">
        <v>1</v>
      </c>
      <c r="M12" s="104">
        <v>1</v>
      </c>
      <c r="N12" s="104">
        <v>1</v>
      </c>
      <c r="O12" s="104">
        <v>1</v>
      </c>
      <c r="P12" s="104">
        <v>1</v>
      </c>
      <c r="Q12" s="104">
        <v>1</v>
      </c>
      <c r="R12" s="104">
        <v>1</v>
      </c>
      <c r="S12" s="104">
        <v>1</v>
      </c>
      <c r="T12" s="104">
        <v>1</v>
      </c>
      <c r="V12" s="203">
        <f>INDEX($B$10:$T$15,MATCH(B12,$B$10:$B$15,0),MATCH($V$10,$B$10:$T$10,0))</f>
        <v>0.8</v>
      </c>
      <c r="AJ12" s="188">
        <f t="shared" si="7"/>
        <v>2030</v>
      </c>
      <c r="AK12" s="274">
        <f t="shared" ca="1" si="0"/>
        <v>0.41313469373054079</v>
      </c>
      <c r="AL12" s="230">
        <f t="shared" ca="1" si="1"/>
        <v>3.3317427980875003</v>
      </c>
      <c r="AM12" s="230">
        <f t="shared" ca="1" si="2"/>
        <v>2.1816471574625003</v>
      </c>
      <c r="AN12" s="230">
        <f t="shared" ca="1" si="3"/>
        <v>0.19</v>
      </c>
      <c r="AO12" s="230">
        <f t="shared" ca="1" si="4"/>
        <v>1.9916471574625003</v>
      </c>
      <c r="AP12" s="280">
        <f t="shared" ca="1" si="5"/>
        <v>3.8139436845305639</v>
      </c>
    </row>
    <row r="13" spans="2:44" x14ac:dyDescent="0.2">
      <c r="B13" t="s">
        <v>134</v>
      </c>
      <c r="D13" s="104">
        <v>0</v>
      </c>
      <c r="E13" s="104">
        <v>0</v>
      </c>
      <c r="F13" s="104"/>
      <c r="G13" s="104"/>
      <c r="H13" s="104"/>
      <c r="I13" s="104"/>
      <c r="J13" s="104">
        <v>0</v>
      </c>
      <c r="K13" s="104"/>
      <c r="L13" s="104"/>
      <c r="M13" s="104"/>
      <c r="N13" s="104"/>
      <c r="O13" s="104">
        <v>0.05</v>
      </c>
      <c r="P13" s="104"/>
      <c r="Q13" s="104"/>
      <c r="R13" s="104"/>
      <c r="S13" s="104"/>
      <c r="T13" s="104">
        <v>0.05</v>
      </c>
      <c r="V13" s="203">
        <f>INDEX($B$10:$T$15,MATCH(B13,$B$10:$B$15,0),MATCH($V$10,$B$10:$T$10,0))</f>
        <v>0</v>
      </c>
      <c r="AJ13" s="11">
        <f t="shared" si="7"/>
        <v>2031</v>
      </c>
      <c r="AK13" s="273">
        <f t="shared" ca="1" si="0"/>
        <v>0.53000056233996551</v>
      </c>
      <c r="AL13" s="229">
        <f t="shared" ca="1" si="1"/>
        <v>4.2589881190431251</v>
      </c>
      <c r="AM13" s="229">
        <f t="shared" ca="1" si="2"/>
        <v>3.0418876963868748</v>
      </c>
      <c r="AN13" s="229">
        <f t="shared" ca="1" si="3"/>
        <v>0.19</v>
      </c>
      <c r="AO13" s="229">
        <f t="shared" ca="1" si="4"/>
        <v>2.8518876963868749</v>
      </c>
      <c r="AP13" s="279">
        <f t="shared" ca="1" si="5"/>
        <v>3.9391196383860287</v>
      </c>
    </row>
    <row r="14" spans="2:44" ht="14.5" customHeight="1" x14ac:dyDescent="0.2">
      <c r="B14" t="s">
        <v>135</v>
      </c>
      <c r="D14" s="104">
        <v>0</v>
      </c>
      <c r="E14" s="104">
        <v>0</v>
      </c>
      <c r="F14" s="104"/>
      <c r="G14" s="104"/>
      <c r="H14" s="104"/>
      <c r="I14" s="104"/>
      <c r="J14" s="104">
        <v>0</v>
      </c>
      <c r="K14" s="104"/>
      <c r="L14" s="104"/>
      <c r="M14" s="104"/>
      <c r="N14" s="104"/>
      <c r="O14" s="104">
        <v>0.25</v>
      </c>
      <c r="P14" s="104"/>
      <c r="Q14" s="104"/>
      <c r="R14" s="104"/>
      <c r="S14" s="104"/>
      <c r="T14" s="104">
        <v>0.45</v>
      </c>
      <c r="V14" s="203">
        <f>INDEX($B$10:$T$15,MATCH(B14,$B$10:$B$15,0),MATCH($V$10,$B$10:$T$10,0))</f>
        <v>0</v>
      </c>
      <c r="AJ14" s="11">
        <f t="shared" si="7"/>
        <v>2032</v>
      </c>
      <c r="AK14" s="273">
        <f t="shared" ca="1" si="0"/>
        <v>0.67651607574713724</v>
      </c>
      <c r="AL14" s="229">
        <f t="shared" ca="1" si="1"/>
        <v>5.4202490770047964</v>
      </c>
      <c r="AM14" s="229">
        <f t="shared" ca="1" si="2"/>
        <v>4.1327936332157336</v>
      </c>
      <c r="AN14" s="229">
        <f t="shared" ca="1" si="3"/>
        <v>0.19</v>
      </c>
      <c r="AO14" s="229">
        <f t="shared" ca="1" si="4"/>
        <v>3.9427936332157336</v>
      </c>
      <c r="AP14" s="279">
        <f t="shared" ca="1" si="5"/>
        <v>4.0390928481142314</v>
      </c>
    </row>
    <row r="15" spans="2:44" ht="14.5" customHeight="1" x14ac:dyDescent="0.2">
      <c r="B15" t="s">
        <v>136</v>
      </c>
      <c r="D15" s="104">
        <v>0</v>
      </c>
      <c r="E15" s="104">
        <v>0</v>
      </c>
      <c r="F15" s="104"/>
      <c r="G15" s="104"/>
      <c r="H15" s="104"/>
      <c r="I15" s="104"/>
      <c r="J15" s="104">
        <v>0</v>
      </c>
      <c r="K15" s="104"/>
      <c r="L15" s="104"/>
      <c r="M15" s="104"/>
      <c r="N15" s="104"/>
      <c r="O15" s="104">
        <v>0</v>
      </c>
      <c r="P15" s="104"/>
      <c r="Q15" s="104"/>
      <c r="R15" s="104"/>
      <c r="S15" s="104"/>
      <c r="T15" s="104">
        <v>0.1</v>
      </c>
      <c r="V15" s="203">
        <f>INDEX($B$10:$T$15,MATCH(B15,$B$10:$B$15,0),MATCH($V$10,$B$10:$T$10,0))</f>
        <v>0</v>
      </c>
      <c r="AJ15" s="11">
        <f t="shared" si="7"/>
        <v>2033</v>
      </c>
      <c r="AK15" s="273">
        <f t="shared" ca="1" si="0"/>
        <v>0.85611597217302104</v>
      </c>
      <c r="AL15" s="229">
        <f t="shared" ca="1" si="1"/>
        <v>6.8421621964372497</v>
      </c>
      <c r="AM15" s="229">
        <f t="shared" ca="1" si="2"/>
        <v>5.4808339804587343</v>
      </c>
      <c r="AN15" s="229">
        <f t="shared" ca="1" si="3"/>
        <v>0.19</v>
      </c>
      <c r="AO15" s="229">
        <f t="shared" ca="1" si="4"/>
        <v>5.2908339804587339</v>
      </c>
      <c r="AP15" s="279">
        <f t="shared" ca="1" si="5"/>
        <v>4.1204382642976825</v>
      </c>
    </row>
    <row r="16" spans="2:44" x14ac:dyDescent="0.2">
      <c r="AJ16" s="11">
        <f t="shared" si="7"/>
        <v>2034</v>
      </c>
      <c r="AK16" s="273">
        <f t="shared" ca="1" si="0"/>
        <v>1.070981037208256</v>
      </c>
      <c r="AL16" s="229">
        <f t="shared" ca="1" si="1"/>
        <v>8.5413655220045221</v>
      </c>
      <c r="AM16" s="229">
        <f t="shared" ca="1" si="2"/>
        <v>7.1024708952270803</v>
      </c>
      <c r="AN16" s="229">
        <f t="shared" ca="1" si="3"/>
        <v>0.19</v>
      </c>
      <c r="AO16" s="229">
        <f t="shared" ca="1" si="4"/>
        <v>6.9124708952270799</v>
      </c>
      <c r="AP16" s="279">
        <f t="shared" ca="1" si="5"/>
        <v>4.187897488378697</v>
      </c>
    </row>
    <row r="17" spans="2:42" ht="16" x14ac:dyDescent="0.2">
      <c r="B17" s="315" t="s">
        <v>55</v>
      </c>
      <c r="C17" s="315"/>
      <c r="D17" s="315"/>
      <c r="E17" s="315"/>
      <c r="F17" s="315"/>
      <c r="G17" s="315"/>
      <c r="H17" s="315"/>
      <c r="I17" s="315"/>
      <c r="J17" s="315"/>
      <c r="K17" s="315"/>
      <c r="L17" s="315"/>
      <c r="M17" s="315"/>
      <c r="N17" s="315"/>
      <c r="O17" s="315"/>
      <c r="P17" s="315"/>
      <c r="Q17" s="315"/>
      <c r="R17" s="315"/>
      <c r="S17" s="315"/>
      <c r="T17" s="315"/>
      <c r="U17" s="315"/>
      <c r="V17" s="315"/>
      <c r="W17" s="315"/>
      <c r="X17" s="315"/>
      <c r="Y17" s="315"/>
      <c r="Z17" s="315"/>
      <c r="AA17" s="315"/>
      <c r="AB17" s="315"/>
      <c r="AC17" s="315"/>
      <c r="AD17" s="315"/>
      <c r="AE17" s="315"/>
      <c r="AF17" s="315"/>
      <c r="AG17" s="315"/>
      <c r="AH17" s="315"/>
      <c r="AJ17" s="188">
        <f t="shared" si="7"/>
        <v>2035</v>
      </c>
      <c r="AK17" s="274">
        <f t="shared" ca="1" si="0"/>
        <v>1.3213838944438434</v>
      </c>
      <c r="AL17" s="230">
        <f t="shared" ca="1" si="1"/>
        <v>10.519351125799469</v>
      </c>
      <c r="AM17" s="230">
        <f t="shared" ca="1" si="2"/>
        <v>8.9990117676831538</v>
      </c>
      <c r="AN17" s="230">
        <f t="shared" ca="1" si="3"/>
        <v>0.19</v>
      </c>
      <c r="AO17" s="230">
        <f t="shared" ca="1" si="4"/>
        <v>8.8090117676831543</v>
      </c>
      <c r="AP17" s="280">
        <f t="shared" ca="1" si="5"/>
        <v>4.2449383416801121</v>
      </c>
    </row>
    <row r="18" spans="2:42" x14ac:dyDescent="0.2">
      <c r="B18" s="211"/>
      <c r="C18" s="211"/>
      <c r="D18" s="144" t="s">
        <v>35</v>
      </c>
      <c r="E18" s="144"/>
      <c r="F18" s="144"/>
      <c r="G18" s="144"/>
      <c r="H18" s="144"/>
      <c r="I18" s="144"/>
      <c r="J18" s="144"/>
      <c r="K18" s="144"/>
      <c r="L18" s="144"/>
      <c r="M18" s="144"/>
      <c r="N18" s="144"/>
      <c r="O18" s="144"/>
      <c r="P18" s="144"/>
      <c r="Q18" s="144"/>
      <c r="R18" s="144"/>
      <c r="S18" s="144"/>
      <c r="T18" s="144"/>
      <c r="U18" s="144"/>
      <c r="V18" s="144"/>
      <c r="W18" s="144"/>
      <c r="X18" s="144"/>
      <c r="Y18" s="144"/>
      <c r="AA18" s="316" t="s">
        <v>56</v>
      </c>
      <c r="AB18" s="316"/>
      <c r="AC18" s="316"/>
      <c r="AD18" s="316"/>
      <c r="AE18" s="316"/>
      <c r="AG18" s="212" t="s">
        <v>105</v>
      </c>
      <c r="AH18" s="211"/>
      <c r="AJ18" s="11">
        <f t="shared" si="7"/>
        <v>2036</v>
      </c>
      <c r="AK18" s="273">
        <f t="shared" ca="1" si="0"/>
        <v>1.6050444863721889</v>
      </c>
      <c r="AL18" s="229">
        <f t="shared" ca="1" si="1"/>
        <v>12.757410247515763</v>
      </c>
      <c r="AM18" s="229">
        <f t="shared" ca="1" si="2"/>
        <v>11.151553921493633</v>
      </c>
      <c r="AN18" s="229">
        <f t="shared" ca="1" si="3"/>
        <v>0.19</v>
      </c>
      <c r="AO18" s="229">
        <f t="shared" ca="1" si="4"/>
        <v>10.961553921493634</v>
      </c>
      <c r="AP18" s="279">
        <f t="shared" ca="1" si="5"/>
        <v>4.2941367098759056</v>
      </c>
    </row>
    <row r="19" spans="2:42" x14ac:dyDescent="0.2">
      <c r="B19" s="175" t="s">
        <v>137</v>
      </c>
      <c r="C19" s="211"/>
      <c r="D19" s="128">
        <f>Macro!C17</f>
        <v>2024</v>
      </c>
      <c r="E19" s="128">
        <f>Macro!D17</f>
        <v>2025</v>
      </c>
      <c r="F19" s="128">
        <f>Macro!E17</f>
        <v>2026</v>
      </c>
      <c r="G19" s="128">
        <f>Macro!F17</f>
        <v>2027</v>
      </c>
      <c r="H19" s="128">
        <f>Macro!G17</f>
        <v>2028</v>
      </c>
      <c r="I19" s="128">
        <f>Macro!H17</f>
        <v>2029</v>
      </c>
      <c r="J19" s="128">
        <f>Macro!I17</f>
        <v>2030</v>
      </c>
      <c r="K19" s="128">
        <f>Macro!J17</f>
        <v>2031</v>
      </c>
      <c r="L19" s="128">
        <f>Macro!K17</f>
        <v>2032</v>
      </c>
      <c r="M19" s="128">
        <f>Macro!L17</f>
        <v>2033</v>
      </c>
      <c r="N19" s="128">
        <f>Macro!M17</f>
        <v>2034</v>
      </c>
      <c r="O19" s="128">
        <f>Macro!N17</f>
        <v>2035</v>
      </c>
      <c r="P19" s="128">
        <f>Macro!O17</f>
        <v>2036</v>
      </c>
      <c r="Q19" s="128">
        <f>Macro!P17</f>
        <v>2037</v>
      </c>
      <c r="R19" s="128">
        <f>Macro!Q17</f>
        <v>2038</v>
      </c>
      <c r="S19" s="128">
        <f>Macro!R17</f>
        <v>2039</v>
      </c>
      <c r="T19" s="128">
        <f>Macro!S17</f>
        <v>2040</v>
      </c>
      <c r="U19" s="128">
        <f>Macro!T17</f>
        <v>2041</v>
      </c>
      <c r="V19" s="128">
        <f>Macro!U17</f>
        <v>2042</v>
      </c>
      <c r="W19" s="128">
        <f>Macro!V17</f>
        <v>2043</v>
      </c>
      <c r="X19" s="128">
        <f>Macro!W17</f>
        <v>2044</v>
      </c>
      <c r="Y19" s="128">
        <f>Macro!X17</f>
        <v>2045</v>
      </c>
      <c r="Z19" s="11"/>
      <c r="AA19" s="128" t="s">
        <v>59</v>
      </c>
      <c r="AB19" s="128" t="s">
        <v>60</v>
      </c>
      <c r="AC19" s="128" t="s">
        <v>61</v>
      </c>
      <c r="AD19" s="128" t="s">
        <v>62</v>
      </c>
      <c r="AE19" s="128" t="s">
        <v>63</v>
      </c>
      <c r="AF19" s="10"/>
      <c r="AG19" s="128">
        <f>D19</f>
        <v>2024</v>
      </c>
      <c r="AH19" s="128" t="e">
        <f>#REF!+1</f>
        <v>#REF!</v>
      </c>
      <c r="AJ19" s="11">
        <f t="shared" si="7"/>
        <v>2037</v>
      </c>
      <c r="AK19" s="273">
        <f t="shared" ca="1" si="0"/>
        <v>1.916595259122408</v>
      </c>
      <c r="AL19" s="229">
        <f t="shared" ca="1" si="1"/>
        <v>15.212461779501455</v>
      </c>
      <c r="AM19" s="229">
        <f t="shared" ca="1" si="2"/>
        <v>13.516812637178218</v>
      </c>
      <c r="AN19" s="229">
        <f t="shared" ca="1" si="3"/>
        <v>0.19</v>
      </c>
      <c r="AO19" s="229">
        <f t="shared" ca="1" si="4"/>
        <v>13.326812637178218</v>
      </c>
      <c r="AP19" s="279">
        <f t="shared" ca="1" si="5"/>
        <v>4.3374404555665196</v>
      </c>
    </row>
    <row r="20" spans="2:42" x14ac:dyDescent="0.2">
      <c r="B20" s="49" t="s">
        <v>108</v>
      </c>
      <c r="C20" s="4"/>
      <c r="D20" s="80">
        <f t="shared" ref="D20:Y20" ca="1" si="8">-D111*10^3/D22</f>
        <v>1604.4307692307696</v>
      </c>
      <c r="E20" s="80">
        <f t="shared" ca="1" si="8"/>
        <v>698.42051282051284</v>
      </c>
      <c r="F20" s="80">
        <f t="shared" ca="1" si="8"/>
        <v>502.71012603215991</v>
      </c>
      <c r="G20" s="80">
        <f t="shared" ca="1" si="8"/>
        <v>367.84486505117724</v>
      </c>
      <c r="H20" s="80">
        <f t="shared" ca="1" si="8"/>
        <v>273.71965107361473</v>
      </c>
      <c r="I20" s="80">
        <f t="shared" ca="1" si="8"/>
        <v>207.20121423311321</v>
      </c>
      <c r="J20" s="80">
        <f t="shared" ca="1" si="8"/>
        <v>159.61654608921529</v>
      </c>
      <c r="K20" s="80">
        <f t="shared" ca="1" si="8"/>
        <v>125.17595385546497</v>
      </c>
      <c r="L20" s="80">
        <f t="shared" ca="1" si="8"/>
        <v>99.973209728203045</v>
      </c>
      <c r="M20" s="80">
        <f t="shared" ca="1" si="8"/>
        <v>81.345416183450382</v>
      </c>
      <c r="N20" s="80">
        <f t="shared" ca="1" si="8"/>
        <v>67.459224081014824</v>
      </c>
      <c r="O20" s="80">
        <f t="shared" ca="1" si="8"/>
        <v>57.040853301414671</v>
      </c>
      <c r="P20" s="80">
        <f t="shared" ca="1" si="8"/>
        <v>49.198368195793968</v>
      </c>
      <c r="Q20" s="80">
        <f t="shared" ca="1" si="8"/>
        <v>43.303745690613738</v>
      </c>
      <c r="R20" s="80">
        <f t="shared" ca="1" si="8"/>
        <v>38.103422078698692</v>
      </c>
      <c r="S20" s="80">
        <f t="shared" ca="1" si="8"/>
        <v>33.51769815170443</v>
      </c>
      <c r="T20" s="80">
        <f t="shared" ca="1" si="8"/>
        <v>29.475655743443927</v>
      </c>
      <c r="U20" s="80">
        <f t="shared" ca="1" si="8"/>
        <v>25.914256992765566</v>
      </c>
      <c r="V20" s="80">
        <f t="shared" ca="1" si="8"/>
        <v>22.777523383046638</v>
      </c>
      <c r="W20" s="80">
        <f t="shared" ca="1" si="8"/>
        <v>20.015790055479787</v>
      </c>
      <c r="X20" s="80">
        <f t="shared" ca="1" si="8"/>
        <v>17.585030544639793</v>
      </c>
      <c r="Y20" s="80">
        <f t="shared" ca="1" si="8"/>
        <v>15.446246931638971</v>
      </c>
      <c r="AA20" s="12">
        <f ca="1">IFERROR((E20/D20)-1,"")</f>
        <v>-0.56469264600593239</v>
      </c>
      <c r="AB20" s="12">
        <f ca="1">IFERROR((J20/D20)^(1/6)-1,"")</f>
        <v>-0.31929414240289977</v>
      </c>
      <c r="AC20" s="12">
        <f ca="1">IFERROR((O20/D20)^(1/11)-1,"")</f>
        <v>-0.26165309726163155</v>
      </c>
      <c r="AD20" s="12">
        <f ca="1">IFERROR((T20/D20)^(1/16)-1,"")</f>
        <v>-0.22105121213003642</v>
      </c>
      <c r="AE20" s="12"/>
      <c r="AF20" s="10"/>
      <c r="AG20" s="10"/>
      <c r="AH20" s="10"/>
      <c r="AJ20" s="11">
        <f t="shared" si="7"/>
        <v>2038</v>
      </c>
      <c r="AK20" s="273">
        <f t="shared" ca="1" si="0"/>
        <v>2.289845992128638</v>
      </c>
      <c r="AL20" s="229">
        <f t="shared" ca="1" si="1"/>
        <v>18.152597292008412</v>
      </c>
      <c r="AM20" s="229">
        <f t="shared" ca="1" si="2"/>
        <v>16.362665692569013</v>
      </c>
      <c r="AN20" s="229">
        <f t="shared" ca="1" si="3"/>
        <v>0.19</v>
      </c>
      <c r="AO20" s="229">
        <f t="shared" ca="1" si="4"/>
        <v>16.172665692569012</v>
      </c>
      <c r="AP20" s="279">
        <f t="shared" ca="1" si="5"/>
        <v>4.3755438776452182</v>
      </c>
    </row>
    <row r="21" spans="2:42" x14ac:dyDescent="0.2">
      <c r="B21" s="216" t="s">
        <v>109</v>
      </c>
      <c r="C21" s="218"/>
      <c r="D21" s="219">
        <f ca="1">D117/Macro!C20*10^3</f>
        <v>1604.4307692307693</v>
      </c>
      <c r="E21" s="219">
        <f ca="1">E117/Macro!D20*10^3</f>
        <v>2302.8512820512824</v>
      </c>
      <c r="F21" s="219">
        <f ca="1">F117/Macro!E20*10^3</f>
        <v>2805.5614080834421</v>
      </c>
      <c r="G21" s="219">
        <f ca="1">G117/Macro!F20*10^3</f>
        <v>3173.4062731346194</v>
      </c>
      <c r="H21" s="219">
        <f ca="1">H117/Macro!G20*10^3</f>
        <v>3447.1259242082342</v>
      </c>
      <c r="I21" s="219">
        <f ca="1">I117/Macro!H20*10^3</f>
        <v>3654.3271384413474</v>
      </c>
      <c r="J21" s="219">
        <f ca="1">J117/Macro!I20*10^3</f>
        <v>3813.943684530564</v>
      </c>
      <c r="K21" s="219">
        <f ca="1">K117/Macro!J20*10^3</f>
        <v>3939.1196383860288</v>
      </c>
      <c r="L21" s="219">
        <f ca="1">L117/Macro!K20*10^3</f>
        <v>4039.0928481142314</v>
      </c>
      <c r="M21" s="219">
        <f ca="1">M117/Macro!L20*10^3</f>
        <v>4120.4382642976825</v>
      </c>
      <c r="N21" s="219">
        <f ca="1">N117/Macro!M20*10^3</f>
        <v>4187.8974883786968</v>
      </c>
      <c r="O21" s="219">
        <f ca="1">O117/Macro!N20*10^3</f>
        <v>4244.938341680112</v>
      </c>
      <c r="P21" s="219">
        <f ca="1">P117/Macro!O20*10^3</f>
        <v>4294.1367098759056</v>
      </c>
      <c r="Q21" s="219">
        <f ca="1">Q117/Macro!P20*10^3</f>
        <v>4337.4404555665196</v>
      </c>
      <c r="R21" s="219">
        <f ca="1">R117/Macro!Q20*10^3</f>
        <v>4375.5438776452183</v>
      </c>
      <c r="S21" s="219">
        <f ca="1">S117/Macro!R20*10^3</f>
        <v>4409.0615757969226</v>
      </c>
      <c r="T21" s="219">
        <f ca="1">T117/Macro!S20*10^3</f>
        <v>4438.5372315403656</v>
      </c>
      <c r="U21" s="219">
        <f ca="1">U117/Macro!T20*10^3</f>
        <v>4464.4514885331319</v>
      </c>
      <c r="V21" s="219">
        <f ca="1">V117/Macro!U20*10^3</f>
        <v>4487.229011916178</v>
      </c>
      <c r="W21" s="219">
        <f ca="1">W117/Macro!V20*10^3</f>
        <v>4507.2448019716576</v>
      </c>
      <c r="X21" s="219">
        <f ca="1">X117/Macro!W20*10^3</f>
        <v>4524.8298325162968</v>
      </c>
      <c r="Y21" s="219">
        <f ca="1">Y117/Macro!X20*10^3</f>
        <v>4540.2760794479354</v>
      </c>
      <c r="Z21" s="3"/>
      <c r="AA21" s="54">
        <f ca="1">IFERROR((E21/D21)-1,"")</f>
        <v>0.43530735399406795</v>
      </c>
      <c r="AB21" s="54">
        <f ca="1">IFERROR((J21/D21)^(1/6)-1,"")</f>
        <v>0.15524886097007151</v>
      </c>
      <c r="AC21" s="54">
        <f ca="1">IFERROR((O21/D21)^(1/11)-1,"")</f>
        <v>9.2480447812357314E-2</v>
      </c>
      <c r="AD21" s="54">
        <f ca="1">IFERROR((T21/D21)^(1/16)-1,"")</f>
        <v>6.5663105647142617E-2</v>
      </c>
      <c r="AE21" s="54">
        <f ca="1">IFERROR((Y21/D21)^(1/21)-1,"")</f>
        <v>5.0781557745258832E-2</v>
      </c>
      <c r="AF21" s="185"/>
      <c r="AG21" s="185"/>
      <c r="AH21" s="185"/>
      <c r="AJ21" s="11">
        <f t="shared" si="7"/>
        <v>2039</v>
      </c>
      <c r="AK21" s="273">
        <f t="shared" ca="1" si="0"/>
        <v>2.7371068204729201</v>
      </c>
      <c r="AL21" s="229">
        <f t="shared" ca="1" si="1"/>
        <v>21.674537264847096</v>
      </c>
      <c r="AM21" s="229">
        <f t="shared" ca="1" si="2"/>
        <v>19.785609085435723</v>
      </c>
      <c r="AN21" s="229">
        <f t="shared" ca="1" si="3"/>
        <v>0.19</v>
      </c>
      <c r="AO21" s="229">
        <f t="shared" ca="1" si="4"/>
        <v>19.595609085435722</v>
      </c>
      <c r="AP21" s="279">
        <f t="shared" ca="1" si="5"/>
        <v>4.4090615757969225</v>
      </c>
    </row>
    <row r="22" spans="2:42" x14ac:dyDescent="0.2">
      <c r="B22" s="49" t="s">
        <v>65</v>
      </c>
      <c r="C22" s="4"/>
      <c r="D22" s="2">
        <f>Macro!C20</f>
        <v>65</v>
      </c>
      <c r="E22" s="2">
        <f>Macro!D20</f>
        <v>97.5</v>
      </c>
      <c r="F22" s="2">
        <f>Macro!E20</f>
        <v>143.8125</v>
      </c>
      <c r="G22" s="2">
        <f>Macro!F20</f>
        <v>208.52812499999999</v>
      </c>
      <c r="H22" s="2">
        <f>Macro!G20</f>
        <v>297.15257812499993</v>
      </c>
      <c r="I22" s="2">
        <f>Macro!H20</f>
        <v>416.01360937499987</v>
      </c>
      <c r="J22" s="2">
        <f>Macro!I20</f>
        <v>572.01871289062478</v>
      </c>
      <c r="K22" s="2">
        <f>Macro!J20</f>
        <v>772.22526240234333</v>
      </c>
      <c r="L22" s="2">
        <f>Macro!K20</f>
        <v>1023.1984726831047</v>
      </c>
      <c r="M22" s="2">
        <f>Macro!L20</f>
        <v>1330.1580144880359</v>
      </c>
      <c r="N22" s="2">
        <f>Macro!M20</f>
        <v>1695.9514684722456</v>
      </c>
      <c r="O22" s="2">
        <f>Macro!N20</f>
        <v>2119.9393355903067</v>
      </c>
      <c r="P22" s="2">
        <f>Macro!O20</f>
        <v>2596.9256860981254</v>
      </c>
      <c r="Q22" s="2">
        <f>Macro!P20</f>
        <v>3116.3108233177504</v>
      </c>
      <c r="R22" s="2">
        <f>Macro!Q20</f>
        <v>3739.5729879813002</v>
      </c>
      <c r="S22" s="2">
        <f>Macro!R20</f>
        <v>4487.4875855775599</v>
      </c>
      <c r="T22" s="2">
        <f>Macro!S20</f>
        <v>5384.9851026930719</v>
      </c>
      <c r="U22" s="2">
        <f>Macro!T20</f>
        <v>6461.9821232316863</v>
      </c>
      <c r="V22" s="2">
        <f>Macro!U20</f>
        <v>7754.3785478780228</v>
      </c>
      <c r="W22" s="2">
        <f>Macro!V20</f>
        <v>9305.2542574536274</v>
      </c>
      <c r="X22" s="2">
        <f>Macro!W20</f>
        <v>11166.305108944352</v>
      </c>
      <c r="Y22" s="2">
        <f>Macro!X20</f>
        <v>13399.566130733223</v>
      </c>
      <c r="AA22" s="12">
        <f>IFERROR((E22/D22)-1,"")</f>
        <v>0.5</v>
      </c>
      <c r="AB22" s="12">
        <f>IFERROR((J22/D22)^(1/6)-1,"")</f>
        <v>0.43686559725988783</v>
      </c>
      <c r="AC22" s="12">
        <f>IFERROR((O22/D22)^(1/11)-1,"")</f>
        <v>0.37272244333469207</v>
      </c>
      <c r="AD22" s="12">
        <f>IFERROR((T22/D22)^(1/16)-1,"")</f>
        <v>0.31792879499327231</v>
      </c>
      <c r="AE22" s="12">
        <f>IFERROR((Y22/D22)^(1/21)-1,"")</f>
        <v>0.28883975252734717</v>
      </c>
      <c r="AF22" s="10"/>
      <c r="AG22" s="10"/>
      <c r="AH22" s="10"/>
      <c r="AJ22" s="188">
        <f t="shared" si="7"/>
        <v>2040</v>
      </c>
      <c r="AK22" s="274">
        <f t="shared" ca="1" si="0"/>
        <v>3.2731484064383083</v>
      </c>
      <c r="AL22" s="230">
        <f t="shared" ca="1" si="1"/>
        <v>25.894331457975358</v>
      </c>
      <c r="AM22" s="230">
        <f t="shared" ca="1" si="2"/>
        <v>23.901456869593421</v>
      </c>
      <c r="AN22" s="230">
        <f t="shared" ca="1" si="3"/>
        <v>0.19</v>
      </c>
      <c r="AO22" s="230">
        <f t="shared" ca="1" si="4"/>
        <v>23.71145686959342</v>
      </c>
      <c r="AP22" s="280">
        <f t="shared" ca="1" si="5"/>
        <v>4.4385372315403657</v>
      </c>
    </row>
    <row r="23" spans="2:42" ht="15" customHeight="1" x14ac:dyDescent="0.2">
      <c r="B23" s="213" t="s">
        <v>138</v>
      </c>
      <c r="C23" s="213"/>
      <c r="D23" s="214"/>
      <c r="E23" s="214"/>
      <c r="F23" s="214"/>
      <c r="G23" s="214"/>
      <c r="H23" s="214"/>
      <c r="I23" s="214"/>
      <c r="J23" s="214"/>
      <c r="K23" s="214"/>
      <c r="L23" s="214"/>
      <c r="M23" s="214"/>
      <c r="N23" s="214"/>
      <c r="O23" s="214"/>
      <c r="P23" s="214"/>
      <c r="Q23" s="214"/>
      <c r="R23" s="214"/>
      <c r="S23" s="214"/>
      <c r="T23" s="214"/>
      <c r="U23" s="214"/>
      <c r="V23" s="214"/>
      <c r="W23" s="214"/>
      <c r="X23" s="214"/>
      <c r="Y23" s="214"/>
      <c r="AA23" s="214"/>
      <c r="AB23" s="214"/>
      <c r="AC23" s="214"/>
      <c r="AD23" s="214"/>
      <c r="AE23" s="214"/>
      <c r="AF23" s="215"/>
      <c r="AG23" s="215"/>
      <c r="AH23" s="215"/>
      <c r="AJ23" s="11">
        <f t="shared" si="7"/>
        <v>2041</v>
      </c>
      <c r="AK23" s="273">
        <f t="shared" ca="1" si="0"/>
        <v>3.9156939650641784</v>
      </c>
      <c r="AL23" s="229">
        <f t="shared" ca="1" si="1"/>
        <v>30.951224026737222</v>
      </c>
      <c r="AM23" s="229">
        <f t="shared" ca="1" si="2"/>
        <v>28.849205708936189</v>
      </c>
      <c r="AN23" s="229">
        <f t="shared" ca="1" si="3"/>
        <v>0.19</v>
      </c>
      <c r="AO23" s="229">
        <f t="shared" ca="1" si="4"/>
        <v>28.659205708936188</v>
      </c>
      <c r="AP23" s="279">
        <f t="shared" ca="1" si="5"/>
        <v>4.4644514885331317</v>
      </c>
    </row>
    <row r="24" spans="2:42" x14ac:dyDescent="0.2">
      <c r="B24" s="216" t="s">
        <v>139</v>
      </c>
      <c r="C24" s="218"/>
      <c r="D24" s="53">
        <f t="shared" ref="D24:Y24" ca="1" si="9">D117</f>
        <v>104.28800000000001</v>
      </c>
      <c r="E24" s="53">
        <f t="shared" ca="1" si="9"/>
        <v>224.52800000000002</v>
      </c>
      <c r="F24" s="53">
        <f t="shared" ca="1" si="9"/>
        <v>403.47480000000002</v>
      </c>
      <c r="G24" s="53">
        <f t="shared" ca="1" si="9"/>
        <v>661.74446</v>
      </c>
      <c r="H24" s="53">
        <f t="shared" ca="1" si="9"/>
        <v>1024.3223555</v>
      </c>
      <c r="I24" s="53">
        <f t="shared" ca="1" si="9"/>
        <v>1520.2498226999999</v>
      </c>
      <c r="J24" s="53">
        <f t="shared" ca="1" si="9"/>
        <v>2181.6471574625002</v>
      </c>
      <c r="K24" s="53">
        <f t="shared" ca="1" si="9"/>
        <v>3041.8876963868747</v>
      </c>
      <c r="L24" s="53">
        <f t="shared" ca="1" si="9"/>
        <v>4132.7936332157333</v>
      </c>
      <c r="M24" s="53">
        <f t="shared" ca="1" si="9"/>
        <v>5480.833980458734</v>
      </c>
      <c r="N24" s="53">
        <f t="shared" ca="1" si="9"/>
        <v>7102.4708952270803</v>
      </c>
      <c r="O24" s="53">
        <f t="shared" ca="1" si="9"/>
        <v>8999.0117676831542</v>
      </c>
      <c r="P24" s="53">
        <f t="shared" ca="1" si="9"/>
        <v>11151.553921493633</v>
      </c>
      <c r="Q24" s="53">
        <f t="shared" ca="1" si="9"/>
        <v>13516.812637178218</v>
      </c>
      <c r="R24" s="53">
        <f t="shared" ca="1" si="9"/>
        <v>16362.665692569013</v>
      </c>
      <c r="S24" s="53">
        <f t="shared" ca="1" si="9"/>
        <v>19785.609085435724</v>
      </c>
      <c r="T24" s="53">
        <f t="shared" ca="1" si="9"/>
        <v>23901.456869593421</v>
      </c>
      <c r="U24" s="53">
        <f t="shared" ca="1" si="9"/>
        <v>28849.205708936188</v>
      </c>
      <c r="V24" s="53">
        <f t="shared" ca="1" si="9"/>
        <v>34795.672389418709</v>
      </c>
      <c r="W24" s="53">
        <f t="shared" ca="1" si="9"/>
        <v>41941.058882932499</v>
      </c>
      <c r="X24" s="53">
        <f t="shared" ca="1" si="9"/>
        <v>50525.630475930549</v>
      </c>
      <c r="Y24" s="53">
        <f t="shared" ca="1" si="9"/>
        <v>60837.729578348786</v>
      </c>
      <c r="Z24" s="3"/>
      <c r="AA24" s="52"/>
      <c r="AB24" s="52"/>
      <c r="AC24" s="52"/>
      <c r="AD24" s="52"/>
      <c r="AE24" s="54">
        <f ca="1">IFERROR((Y24/D24)^(1/21)-1,"")</f>
        <v>0.35428904284469964</v>
      </c>
      <c r="AF24" s="185"/>
      <c r="AG24" s="185"/>
      <c r="AH24" s="185"/>
      <c r="AJ24" s="11">
        <f t="shared" si="7"/>
        <v>2042</v>
      </c>
      <c r="AK24" s="273">
        <f t="shared" ca="1" si="0"/>
        <v>4.6860096917839815</v>
      </c>
      <c r="AL24" s="229">
        <f t="shared" ca="1" si="1"/>
        <v>37.012291623109789</v>
      </c>
      <c r="AM24" s="229">
        <f t="shared" ca="1" si="2"/>
        <v>34.795672389418712</v>
      </c>
      <c r="AN24" s="229">
        <f t="shared" ca="1" si="3"/>
        <v>0.19</v>
      </c>
      <c r="AO24" s="229">
        <f t="shared" ca="1" si="4"/>
        <v>34.605672389418714</v>
      </c>
      <c r="AP24" s="279">
        <f t="shared" ca="1" si="5"/>
        <v>4.4872290119161784</v>
      </c>
    </row>
    <row r="25" spans="2:42" x14ac:dyDescent="0.2">
      <c r="B25" t="s">
        <v>140</v>
      </c>
      <c r="C25" s="4"/>
      <c r="D25" s="2">
        <f t="shared" ref="D25:Y25" ca="1" si="10">D28-D27</f>
        <v>190</v>
      </c>
      <c r="E25" s="2">
        <f t="shared" ca="1" si="10"/>
        <v>190</v>
      </c>
      <c r="F25" s="2">
        <f t="shared" ca="1" si="10"/>
        <v>190</v>
      </c>
      <c r="G25" s="2">
        <f t="shared" ca="1" si="10"/>
        <v>190</v>
      </c>
      <c r="H25" s="2">
        <f t="shared" ca="1" si="10"/>
        <v>190</v>
      </c>
      <c r="I25" s="2">
        <f t="shared" ca="1" si="10"/>
        <v>190</v>
      </c>
      <c r="J25" s="2">
        <f t="shared" ca="1" si="10"/>
        <v>190</v>
      </c>
      <c r="K25" s="2">
        <f t="shared" ca="1" si="10"/>
        <v>190</v>
      </c>
      <c r="L25" s="2">
        <f t="shared" ca="1" si="10"/>
        <v>190</v>
      </c>
      <c r="M25" s="2">
        <f t="shared" ca="1" si="10"/>
        <v>190</v>
      </c>
      <c r="N25" s="2">
        <f t="shared" ca="1" si="10"/>
        <v>190</v>
      </c>
      <c r="O25" s="2">
        <f t="shared" ca="1" si="10"/>
        <v>190</v>
      </c>
      <c r="P25" s="2">
        <f t="shared" ca="1" si="10"/>
        <v>190</v>
      </c>
      <c r="Q25" s="2">
        <f t="shared" ca="1" si="10"/>
        <v>190</v>
      </c>
      <c r="R25" s="2">
        <f t="shared" ca="1" si="10"/>
        <v>190</v>
      </c>
      <c r="S25" s="2">
        <f t="shared" ca="1" si="10"/>
        <v>190</v>
      </c>
      <c r="T25" s="2">
        <f t="shared" ca="1" si="10"/>
        <v>190</v>
      </c>
      <c r="U25" s="2">
        <f t="shared" ca="1" si="10"/>
        <v>190</v>
      </c>
      <c r="V25" s="2">
        <f t="shared" ca="1" si="10"/>
        <v>190</v>
      </c>
      <c r="W25" s="2">
        <f t="shared" ca="1" si="10"/>
        <v>190</v>
      </c>
      <c r="X25" s="2">
        <f t="shared" ca="1" si="10"/>
        <v>190</v>
      </c>
      <c r="Y25" s="2">
        <f t="shared" ca="1" si="10"/>
        <v>190</v>
      </c>
      <c r="AE25" s="12">
        <f ca="1">IFERROR((Y25/D25)^(1/21)-1,"")</f>
        <v>0</v>
      </c>
      <c r="AF25" s="10"/>
      <c r="AG25" s="10"/>
      <c r="AH25" s="10"/>
      <c r="AJ25" s="11">
        <f t="shared" si="7"/>
        <v>2043</v>
      </c>
      <c r="AK25" s="273">
        <f t="shared" ca="1" si="0"/>
        <v>5.6096132722945269</v>
      </c>
      <c r="AL25" s="229">
        <f t="shared" ca="1" si="1"/>
        <v>44.278009078308138</v>
      </c>
      <c r="AM25" s="229">
        <f t="shared" ca="1" si="2"/>
        <v>41.941058882932502</v>
      </c>
      <c r="AN25" s="229">
        <f t="shared" ca="1" si="3"/>
        <v>0.19</v>
      </c>
      <c r="AO25" s="229">
        <f t="shared" ca="1" si="4"/>
        <v>41.751058882932504</v>
      </c>
      <c r="AP25" s="279">
        <f t="shared" ca="1" si="5"/>
        <v>4.507244801971658</v>
      </c>
    </row>
    <row r="26" spans="2:42" x14ac:dyDescent="0.2">
      <c r="B26" s="18" t="s">
        <v>141</v>
      </c>
      <c r="C26" s="4"/>
      <c r="D26" s="70">
        <f ca="1">IFERROR(D25/D24,"NA")</f>
        <v>1.8218778766492787</v>
      </c>
      <c r="E26" s="70">
        <f t="shared" ref="E26:Y26" ca="1" si="11">IFERROR(E25/E24,"NA")</f>
        <v>0.84621962516924387</v>
      </c>
      <c r="F26" s="70">
        <f t="shared" ca="1" si="11"/>
        <v>0.47090921167815186</v>
      </c>
      <c r="G26" s="70">
        <f t="shared" ca="1" si="11"/>
        <v>0.28711989519338021</v>
      </c>
      <c r="H26" s="70">
        <f t="shared" ca="1" si="11"/>
        <v>0.1854884831711554</v>
      </c>
      <c r="I26" s="70">
        <f t="shared" ca="1" si="11"/>
        <v>0.12497945874616546</v>
      </c>
      <c r="J26" s="70">
        <f t="shared" ca="1" si="11"/>
        <v>8.7090159996812341E-2</v>
      </c>
      <c r="K26" s="70">
        <f t="shared" ca="1" si="11"/>
        <v>6.2461214536513029E-2</v>
      </c>
      <c r="L26" s="70">
        <f t="shared" ca="1" si="11"/>
        <v>4.5973744847298534E-2</v>
      </c>
      <c r="M26" s="70">
        <f t="shared" ca="1" si="11"/>
        <v>3.4666257120252605E-2</v>
      </c>
      <c r="N26" s="70">
        <f t="shared" ca="1" si="11"/>
        <v>2.6751253585239131E-2</v>
      </c>
      <c r="O26" s="70">
        <f t="shared" ca="1" si="11"/>
        <v>2.1113429441477056E-2</v>
      </c>
      <c r="P26" s="70">
        <f t="shared" ca="1" si="11"/>
        <v>1.7037984243056192E-2</v>
      </c>
      <c r="Q26" s="70">
        <f t="shared" ca="1" si="11"/>
        <v>1.4056568297573485E-2</v>
      </c>
      <c r="R26" s="70">
        <f t="shared" ca="1" si="11"/>
        <v>1.1611799909001816E-2</v>
      </c>
      <c r="S26" s="70">
        <f t="shared" ca="1" si="11"/>
        <v>9.6029391452932249E-3</v>
      </c>
      <c r="T26" s="70">
        <f t="shared" ca="1" si="11"/>
        <v>7.9493062300194425E-3</v>
      </c>
      <c r="U26" s="70">
        <f t="shared" ca="1" si="11"/>
        <v>6.585969884818927E-3</v>
      </c>
      <c r="V26" s="70">
        <f t="shared" ca="1" si="11"/>
        <v>5.4604491579757089E-3</v>
      </c>
      <c r="W26" s="70">
        <f t="shared" ca="1" si="11"/>
        <v>4.5301669786243434E-3</v>
      </c>
      <c r="X26" s="70">
        <f t="shared" ca="1" si="11"/>
        <v>3.7604676717594328E-3</v>
      </c>
      <c r="Y26" s="70">
        <f t="shared" ca="1" si="11"/>
        <v>3.123061976783862E-3</v>
      </c>
      <c r="AE26" s="12"/>
      <c r="AF26" s="10"/>
      <c r="AG26" s="10"/>
      <c r="AH26" s="10"/>
      <c r="AJ26" s="11">
        <f t="shared" si="7"/>
        <v>2044</v>
      </c>
      <c r="AK26" s="273">
        <f t="shared" ca="1" si="0"/>
        <v>6.717124090828011</v>
      </c>
      <c r="AL26" s="229">
        <f t="shared" ca="1" si="1"/>
        <v>52.988928181074975</v>
      </c>
      <c r="AM26" s="229">
        <f t="shared" ca="1" si="2"/>
        <v>50.525630475930548</v>
      </c>
      <c r="AN26" s="229">
        <f t="shared" ca="1" si="3"/>
        <v>0.19</v>
      </c>
      <c r="AO26" s="229">
        <f t="shared" ca="1" si="4"/>
        <v>50.33563047593055</v>
      </c>
      <c r="AP26" s="279">
        <f t="shared" ca="1" si="5"/>
        <v>4.5248298325162972</v>
      </c>
    </row>
    <row r="27" spans="2:42" x14ac:dyDescent="0.2">
      <c r="B27" s="217" t="s">
        <v>142</v>
      </c>
      <c r="C27" s="4"/>
      <c r="D27" s="2">
        <f t="shared" ref="D27:Y27" ca="1" si="12">D115</f>
        <v>10</v>
      </c>
      <c r="E27" s="2">
        <f t="shared" ca="1" si="12"/>
        <v>10</v>
      </c>
      <c r="F27" s="2">
        <f t="shared" ca="1" si="12"/>
        <v>10</v>
      </c>
      <c r="G27" s="2">
        <f t="shared" ca="1" si="12"/>
        <v>10</v>
      </c>
      <c r="H27" s="2">
        <f t="shared" ca="1" si="12"/>
        <v>10</v>
      </c>
      <c r="I27" s="2">
        <f t="shared" ca="1" si="12"/>
        <v>10</v>
      </c>
      <c r="J27" s="2">
        <f t="shared" ca="1" si="12"/>
        <v>10</v>
      </c>
      <c r="K27" s="2">
        <f t="shared" ca="1" si="12"/>
        <v>10</v>
      </c>
      <c r="L27" s="2">
        <f t="shared" ca="1" si="12"/>
        <v>10</v>
      </c>
      <c r="M27" s="2">
        <f t="shared" ca="1" si="12"/>
        <v>10</v>
      </c>
      <c r="N27" s="2">
        <f t="shared" ca="1" si="12"/>
        <v>10</v>
      </c>
      <c r="O27" s="2">
        <f t="shared" ca="1" si="12"/>
        <v>10</v>
      </c>
      <c r="P27" s="2">
        <f t="shared" ca="1" si="12"/>
        <v>10</v>
      </c>
      <c r="Q27" s="2">
        <f t="shared" ca="1" si="12"/>
        <v>10</v>
      </c>
      <c r="R27" s="2">
        <f t="shared" ca="1" si="12"/>
        <v>10</v>
      </c>
      <c r="S27" s="2">
        <f t="shared" ca="1" si="12"/>
        <v>10</v>
      </c>
      <c r="T27" s="2">
        <f t="shared" ca="1" si="12"/>
        <v>10</v>
      </c>
      <c r="U27" s="2">
        <f t="shared" ca="1" si="12"/>
        <v>10</v>
      </c>
      <c r="V27" s="2">
        <f t="shared" ca="1" si="12"/>
        <v>10</v>
      </c>
      <c r="W27" s="2">
        <f t="shared" ca="1" si="12"/>
        <v>10</v>
      </c>
      <c r="X27" s="2">
        <f t="shared" ca="1" si="12"/>
        <v>10</v>
      </c>
      <c r="Y27" s="2">
        <f t="shared" ca="1" si="12"/>
        <v>10</v>
      </c>
      <c r="AE27" s="12">
        <f ca="1">IFERROR((Y27/D27)^(1/21)-1,"")</f>
        <v>0</v>
      </c>
      <c r="AF27" s="10"/>
      <c r="AG27" s="10"/>
      <c r="AH27" s="10"/>
      <c r="AJ27" s="188">
        <f t="shared" si="7"/>
        <v>2045</v>
      </c>
      <c r="AK27" s="274">
        <f t="shared" ca="1" si="0"/>
        <v>8.0452834762260963</v>
      </c>
      <c r="AL27" s="230">
        <f t="shared" ca="1" si="1"/>
        <v>63.433692168750426</v>
      </c>
      <c r="AM27" s="230">
        <f t="shared" ca="1" si="2"/>
        <v>60.837729578348785</v>
      </c>
      <c r="AN27" s="230">
        <f t="shared" ca="1" si="3"/>
        <v>0.19</v>
      </c>
      <c r="AO27" s="230">
        <f t="shared" ca="1" si="4"/>
        <v>60.647729578348788</v>
      </c>
      <c r="AP27" s="280">
        <f t="shared" ca="1" si="5"/>
        <v>4.5402760794479358</v>
      </c>
    </row>
    <row r="28" spans="2:42" ht="15" customHeight="1" x14ac:dyDescent="0.2">
      <c r="B28" s="217" t="s">
        <v>143</v>
      </c>
      <c r="C28" s="4"/>
      <c r="D28" s="2">
        <f t="shared" ref="D28:Y28" ca="1" si="13">D120</f>
        <v>200</v>
      </c>
      <c r="E28" s="2">
        <f t="shared" ca="1" si="13"/>
        <v>200</v>
      </c>
      <c r="F28" s="2">
        <f t="shared" ca="1" si="13"/>
        <v>200</v>
      </c>
      <c r="G28" s="2">
        <f t="shared" ca="1" si="13"/>
        <v>200</v>
      </c>
      <c r="H28" s="2">
        <f t="shared" ca="1" si="13"/>
        <v>200</v>
      </c>
      <c r="I28" s="2">
        <f t="shared" ca="1" si="13"/>
        <v>200</v>
      </c>
      <c r="J28" s="2">
        <f t="shared" ca="1" si="13"/>
        <v>200</v>
      </c>
      <c r="K28" s="2">
        <f t="shared" ca="1" si="13"/>
        <v>200</v>
      </c>
      <c r="L28" s="2">
        <f t="shared" ca="1" si="13"/>
        <v>200</v>
      </c>
      <c r="M28" s="2">
        <f t="shared" ca="1" si="13"/>
        <v>200</v>
      </c>
      <c r="N28" s="2">
        <f t="shared" ca="1" si="13"/>
        <v>200</v>
      </c>
      <c r="O28" s="2">
        <f t="shared" ca="1" si="13"/>
        <v>200</v>
      </c>
      <c r="P28" s="2">
        <f t="shared" ca="1" si="13"/>
        <v>200</v>
      </c>
      <c r="Q28" s="2">
        <f t="shared" ca="1" si="13"/>
        <v>200</v>
      </c>
      <c r="R28" s="2">
        <f t="shared" ca="1" si="13"/>
        <v>200</v>
      </c>
      <c r="S28" s="2">
        <f t="shared" ca="1" si="13"/>
        <v>200</v>
      </c>
      <c r="T28" s="2">
        <f t="shared" ca="1" si="13"/>
        <v>200</v>
      </c>
      <c r="U28" s="2">
        <f t="shared" ca="1" si="13"/>
        <v>200</v>
      </c>
      <c r="V28" s="2">
        <f t="shared" ca="1" si="13"/>
        <v>200</v>
      </c>
      <c r="W28" s="2">
        <f t="shared" ca="1" si="13"/>
        <v>200</v>
      </c>
      <c r="X28" s="2">
        <f t="shared" ca="1" si="13"/>
        <v>200</v>
      </c>
      <c r="Y28" s="2">
        <f t="shared" ca="1" si="13"/>
        <v>200</v>
      </c>
      <c r="AE28" s="12">
        <f ca="1">IFERROR((Y28/D28)^(1/21)-1,"")</f>
        <v>0</v>
      </c>
      <c r="AF28" s="10"/>
      <c r="AG28" s="10"/>
      <c r="AH28" s="10"/>
    </row>
    <row r="29" spans="2:42" ht="4" customHeight="1" x14ac:dyDescent="0.2">
      <c r="B29" s="4"/>
      <c r="C29" s="4"/>
      <c r="AE29" s="12"/>
      <c r="AF29" s="10"/>
      <c r="AG29" s="10"/>
      <c r="AH29" s="10"/>
    </row>
    <row r="30" spans="2:42" hidden="1" outlineLevel="1" x14ac:dyDescent="0.2">
      <c r="B30" s="213" t="s">
        <v>144</v>
      </c>
      <c r="C30" s="213"/>
      <c r="D30" s="214"/>
      <c r="E30" s="214"/>
      <c r="F30" s="214"/>
      <c r="G30" s="214"/>
      <c r="H30" s="214"/>
      <c r="I30" s="214"/>
      <c r="J30" s="214"/>
      <c r="K30" s="214"/>
      <c r="L30" s="214"/>
      <c r="M30" s="214"/>
      <c r="N30" s="214"/>
      <c r="O30" s="214"/>
      <c r="P30" s="214"/>
      <c r="Q30" s="214"/>
      <c r="R30" s="214"/>
      <c r="S30" s="214"/>
      <c r="T30" s="214"/>
      <c r="U30" s="214"/>
      <c r="V30" s="214"/>
      <c r="W30" s="214"/>
      <c r="X30" s="214"/>
      <c r="Y30" s="214"/>
      <c r="AA30" s="214"/>
      <c r="AB30" s="214"/>
      <c r="AC30" s="214"/>
      <c r="AD30" s="214"/>
      <c r="AE30" s="223"/>
      <c r="AF30" s="215"/>
      <c r="AG30" s="215"/>
      <c r="AH30" s="215"/>
    </row>
    <row r="31" spans="2:42" hidden="1" outlineLevel="1" x14ac:dyDescent="0.2">
      <c r="B31" s="48" t="s">
        <v>145</v>
      </c>
      <c r="C31" s="4"/>
      <c r="D31" s="2">
        <f t="shared" ref="D31:Y31" si="14">D102</f>
        <v>100</v>
      </c>
      <c r="E31" s="2">
        <f t="shared" si="14"/>
        <v>105</v>
      </c>
      <c r="F31" s="2">
        <f t="shared" si="14"/>
        <v>110.25</v>
      </c>
      <c r="G31" s="2">
        <f t="shared" si="14"/>
        <v>115.7625</v>
      </c>
      <c r="H31" s="2">
        <f t="shared" si="14"/>
        <v>121.55062500000001</v>
      </c>
      <c r="I31" s="2">
        <f t="shared" si="14"/>
        <v>127.62815625000002</v>
      </c>
      <c r="J31" s="2">
        <f t="shared" si="14"/>
        <v>134.00956406250003</v>
      </c>
      <c r="K31" s="2">
        <f t="shared" si="14"/>
        <v>140.71004226562505</v>
      </c>
      <c r="L31" s="2">
        <f t="shared" si="14"/>
        <v>147.74554437890632</v>
      </c>
      <c r="M31" s="2">
        <f t="shared" si="14"/>
        <v>155.13282159785163</v>
      </c>
      <c r="N31" s="2">
        <f t="shared" si="14"/>
        <v>162.88946267774421</v>
      </c>
      <c r="O31" s="2">
        <f t="shared" si="14"/>
        <v>171.03393581163144</v>
      </c>
      <c r="P31" s="2">
        <f t="shared" si="14"/>
        <v>179.58563260221302</v>
      </c>
      <c r="Q31" s="2">
        <f t="shared" si="14"/>
        <v>188.56491423232367</v>
      </c>
      <c r="R31" s="2">
        <f t="shared" si="14"/>
        <v>197.99315994393987</v>
      </c>
      <c r="S31" s="2">
        <f t="shared" si="14"/>
        <v>207.89281794113688</v>
      </c>
      <c r="T31" s="2">
        <f t="shared" si="14"/>
        <v>218.28745883819374</v>
      </c>
      <c r="U31" s="2">
        <f t="shared" si="14"/>
        <v>229.20183178010345</v>
      </c>
      <c r="V31" s="2">
        <f t="shared" si="14"/>
        <v>240.66192336910862</v>
      </c>
      <c r="W31" s="2">
        <f t="shared" si="14"/>
        <v>252.69501953756406</v>
      </c>
      <c r="X31" s="2">
        <f t="shared" si="14"/>
        <v>265.32977051444226</v>
      </c>
      <c r="Y31" s="2">
        <f t="shared" si="14"/>
        <v>278.5962590401644</v>
      </c>
      <c r="AE31" s="12">
        <f t="shared" ref="AE31:AE37" si="15">IFERROR((Y31/D31)^(1/21)-1,"")</f>
        <v>5.0000000000000044E-2</v>
      </c>
      <c r="AF31" s="10"/>
      <c r="AG31" s="10"/>
      <c r="AH31" s="10"/>
    </row>
    <row r="32" spans="2:42" hidden="1" outlineLevel="1" x14ac:dyDescent="0.2">
      <c r="B32" s="48" t="s">
        <v>146</v>
      </c>
      <c r="C32" s="4"/>
      <c r="D32" s="2">
        <f t="shared" ref="D32:Y32" ca="1" si="16">D103+D105</f>
        <v>-19.64</v>
      </c>
      <c r="E32" s="2">
        <f t="shared" ca="1" si="16"/>
        <v>-19.88</v>
      </c>
      <c r="F32" s="2">
        <f t="shared" ca="1" si="16"/>
        <v>-19.88</v>
      </c>
      <c r="G32" s="2">
        <f t="shared" ca="1" si="16"/>
        <v>-19.88</v>
      </c>
      <c r="H32" s="2">
        <f t="shared" ca="1" si="16"/>
        <v>-19.88</v>
      </c>
      <c r="I32" s="2">
        <f t="shared" ca="1" si="16"/>
        <v>-19.88</v>
      </c>
      <c r="J32" s="2">
        <f t="shared" ca="1" si="16"/>
        <v>-19.88</v>
      </c>
      <c r="K32" s="2">
        <f t="shared" ca="1" si="16"/>
        <v>-19.88</v>
      </c>
      <c r="L32" s="2">
        <f t="shared" ca="1" si="16"/>
        <v>-19.88</v>
      </c>
      <c r="M32" s="2">
        <f t="shared" ca="1" si="16"/>
        <v>-19.88</v>
      </c>
      <c r="N32" s="2">
        <f t="shared" ca="1" si="16"/>
        <v>-19.88</v>
      </c>
      <c r="O32" s="2">
        <f t="shared" ca="1" si="16"/>
        <v>-19.88</v>
      </c>
      <c r="P32" s="2">
        <f t="shared" ca="1" si="16"/>
        <v>-19.88</v>
      </c>
      <c r="Q32" s="2">
        <f t="shared" ca="1" si="16"/>
        <v>-19.88</v>
      </c>
      <c r="R32" s="2">
        <f t="shared" ca="1" si="16"/>
        <v>-19.88</v>
      </c>
      <c r="S32" s="2">
        <f t="shared" ca="1" si="16"/>
        <v>-19.88</v>
      </c>
      <c r="T32" s="2">
        <f t="shared" ca="1" si="16"/>
        <v>-19.88</v>
      </c>
      <c r="U32" s="2">
        <f t="shared" ca="1" si="16"/>
        <v>-19.88</v>
      </c>
      <c r="V32" s="2">
        <f t="shared" ca="1" si="16"/>
        <v>-19.88</v>
      </c>
      <c r="W32" s="2">
        <f t="shared" ca="1" si="16"/>
        <v>-19.88</v>
      </c>
      <c r="X32" s="2">
        <f t="shared" ca="1" si="16"/>
        <v>-19.88</v>
      </c>
      <c r="Y32" s="2">
        <f t="shared" ca="1" si="16"/>
        <v>-19.88</v>
      </c>
      <c r="AE32" s="12">
        <f t="shared" ca="1" si="15"/>
        <v>5.7854340133722815E-4</v>
      </c>
      <c r="AF32" s="10"/>
      <c r="AG32" s="10"/>
      <c r="AH32" s="10"/>
    </row>
    <row r="33" spans="2:34" hidden="1" outlineLevel="1" x14ac:dyDescent="0.2">
      <c r="B33" s="48" t="s">
        <v>147</v>
      </c>
      <c r="C33" s="4"/>
      <c r="D33" s="2">
        <f t="shared" ref="D33:Y33" ca="1" si="17">D104</f>
        <v>0</v>
      </c>
      <c r="E33" s="2">
        <f t="shared" ca="1" si="17"/>
        <v>0</v>
      </c>
      <c r="F33" s="2">
        <f t="shared" ca="1" si="17"/>
        <v>0</v>
      </c>
      <c r="G33" s="2">
        <f t="shared" ca="1" si="17"/>
        <v>0</v>
      </c>
      <c r="H33" s="2">
        <f t="shared" ca="1" si="17"/>
        <v>0</v>
      </c>
      <c r="I33" s="2">
        <f t="shared" ca="1" si="17"/>
        <v>0</v>
      </c>
      <c r="J33" s="2">
        <f t="shared" ca="1" si="17"/>
        <v>0</v>
      </c>
      <c r="K33" s="2">
        <f t="shared" ca="1" si="17"/>
        <v>0</v>
      </c>
      <c r="L33" s="2">
        <f t="shared" ca="1" si="17"/>
        <v>0</v>
      </c>
      <c r="M33" s="2">
        <f t="shared" ca="1" si="17"/>
        <v>0</v>
      </c>
      <c r="N33" s="2">
        <f t="shared" ca="1" si="17"/>
        <v>0</v>
      </c>
      <c r="O33" s="2">
        <f t="shared" ca="1" si="17"/>
        <v>0</v>
      </c>
      <c r="P33" s="2">
        <f t="shared" ca="1" si="17"/>
        <v>0</v>
      </c>
      <c r="Q33" s="2">
        <f t="shared" ca="1" si="17"/>
        <v>0</v>
      </c>
      <c r="R33" s="2">
        <f t="shared" ca="1" si="17"/>
        <v>0</v>
      </c>
      <c r="S33" s="2">
        <f t="shared" ca="1" si="17"/>
        <v>0</v>
      </c>
      <c r="T33" s="2">
        <f t="shared" ca="1" si="17"/>
        <v>0</v>
      </c>
      <c r="U33" s="2">
        <f t="shared" ca="1" si="17"/>
        <v>0</v>
      </c>
      <c r="V33" s="2">
        <f t="shared" ca="1" si="17"/>
        <v>0</v>
      </c>
      <c r="W33" s="2">
        <f t="shared" ca="1" si="17"/>
        <v>0</v>
      </c>
      <c r="X33" s="2">
        <f t="shared" ca="1" si="17"/>
        <v>0</v>
      </c>
      <c r="Y33" s="2">
        <f t="shared" ca="1" si="17"/>
        <v>0</v>
      </c>
      <c r="AE33" s="12" t="str">
        <f t="shared" ca="1" si="15"/>
        <v/>
      </c>
      <c r="AF33" s="10"/>
      <c r="AG33" s="10"/>
      <c r="AH33" s="10"/>
    </row>
    <row r="34" spans="2:34" hidden="1" outlineLevel="1" x14ac:dyDescent="0.2">
      <c r="B34" s="48" t="s">
        <v>148</v>
      </c>
      <c r="C34" s="48"/>
      <c r="D34" s="2">
        <f t="shared" ref="D34:Y34" ca="1" si="18">D107</f>
        <v>0</v>
      </c>
      <c r="E34" s="2">
        <f t="shared" ca="1" si="18"/>
        <v>0</v>
      </c>
      <c r="F34" s="2">
        <f t="shared" ca="1" si="18"/>
        <v>0</v>
      </c>
      <c r="G34" s="2">
        <f t="shared" ca="1" si="18"/>
        <v>0</v>
      </c>
      <c r="H34" s="2">
        <f t="shared" ca="1" si="18"/>
        <v>0</v>
      </c>
      <c r="I34" s="2">
        <f t="shared" ca="1" si="18"/>
        <v>0</v>
      </c>
      <c r="J34" s="2">
        <f t="shared" ca="1" si="18"/>
        <v>0</v>
      </c>
      <c r="K34" s="2">
        <f t="shared" ca="1" si="18"/>
        <v>0</v>
      </c>
      <c r="L34" s="2">
        <f t="shared" ca="1" si="18"/>
        <v>0</v>
      </c>
      <c r="M34" s="2">
        <f t="shared" ca="1" si="18"/>
        <v>0</v>
      </c>
      <c r="N34" s="2">
        <f t="shared" ca="1" si="18"/>
        <v>0</v>
      </c>
      <c r="O34" s="2">
        <f t="shared" ca="1" si="18"/>
        <v>0</v>
      </c>
      <c r="P34" s="2">
        <f t="shared" ca="1" si="18"/>
        <v>0</v>
      </c>
      <c r="Q34" s="2">
        <f t="shared" ca="1" si="18"/>
        <v>0</v>
      </c>
      <c r="R34" s="2">
        <f t="shared" ca="1" si="18"/>
        <v>0</v>
      </c>
      <c r="S34" s="2">
        <f t="shared" ca="1" si="18"/>
        <v>0</v>
      </c>
      <c r="T34" s="2">
        <f t="shared" ca="1" si="18"/>
        <v>0</v>
      </c>
      <c r="U34" s="2">
        <f t="shared" ca="1" si="18"/>
        <v>0</v>
      </c>
      <c r="V34" s="2">
        <f t="shared" ca="1" si="18"/>
        <v>0</v>
      </c>
      <c r="W34" s="2">
        <f t="shared" ca="1" si="18"/>
        <v>0</v>
      </c>
      <c r="X34" s="2">
        <f t="shared" ca="1" si="18"/>
        <v>0</v>
      </c>
      <c r="Y34" s="2">
        <f t="shared" ca="1" si="18"/>
        <v>0</v>
      </c>
      <c r="AE34" s="12" t="str">
        <f t="shared" ca="1" si="15"/>
        <v/>
      </c>
      <c r="AF34" s="10"/>
      <c r="AG34" s="10"/>
      <c r="AH34" s="10"/>
    </row>
    <row r="35" spans="2:34" hidden="1" outlineLevel="1" x14ac:dyDescent="0.2">
      <c r="B35" s="48" t="s">
        <v>149</v>
      </c>
      <c r="C35" s="4"/>
      <c r="D35" s="2">
        <f t="shared" ref="D35:Y35" ca="1" si="19">D109</f>
        <v>-16.071999999999996</v>
      </c>
      <c r="E35" s="2">
        <f t="shared" ca="1" si="19"/>
        <v>-17.023999999999997</v>
      </c>
      <c r="F35" s="2">
        <f t="shared" ca="1" si="19"/>
        <v>-18.073999999999998</v>
      </c>
      <c r="G35" s="2">
        <f t="shared" ca="1" si="19"/>
        <v>-19.176499999999997</v>
      </c>
      <c r="H35" s="2">
        <f t="shared" ca="1" si="19"/>
        <v>-20.334125</v>
      </c>
      <c r="I35" s="2">
        <f t="shared" ca="1" si="19"/>
        <v>-21.549631250000001</v>
      </c>
      <c r="J35" s="2">
        <f t="shared" ca="1" si="19"/>
        <v>-22.825912812500004</v>
      </c>
      <c r="K35" s="2">
        <f t="shared" ca="1" si="19"/>
        <v>-24.166008453125006</v>
      </c>
      <c r="L35" s="2">
        <f t="shared" ca="1" si="19"/>
        <v>-25.573108875781259</v>
      </c>
      <c r="M35" s="2">
        <f t="shared" ca="1" si="19"/>
        <v>-27.05056431957032</v>
      </c>
      <c r="N35" s="2">
        <f t="shared" ca="1" si="19"/>
        <v>-28.601892535548835</v>
      </c>
      <c r="O35" s="2">
        <f t="shared" ca="1" si="19"/>
        <v>-30.230787162326283</v>
      </c>
      <c r="P35" s="2">
        <f t="shared" ca="1" si="19"/>
        <v>-31.941126520442598</v>
      </c>
      <c r="Q35" s="2">
        <f t="shared" ca="1" si="19"/>
        <v>-33.736982846464727</v>
      </c>
      <c r="R35" s="2">
        <f t="shared" ca="1" si="19"/>
        <v>-35.622631988787965</v>
      </c>
      <c r="S35" s="2">
        <f t="shared" ca="1" si="19"/>
        <v>-37.602563588227369</v>
      </c>
      <c r="T35" s="2">
        <f t="shared" ca="1" si="19"/>
        <v>-39.68149176763874</v>
      </c>
      <c r="U35" s="2">
        <f t="shared" ca="1" si="19"/>
        <v>-41.864366356020682</v>
      </c>
      <c r="V35" s="2">
        <f t="shared" ca="1" si="19"/>
        <v>-44.156384673821712</v>
      </c>
      <c r="W35" s="2">
        <f t="shared" ca="1" si="19"/>
        <v>-46.563003907512801</v>
      </c>
      <c r="X35" s="2">
        <f t="shared" ca="1" si="19"/>
        <v>-49.089954102888441</v>
      </c>
      <c r="Y35" s="2">
        <f t="shared" ca="1" si="19"/>
        <v>-51.743251808032866</v>
      </c>
      <c r="AE35" s="12">
        <f t="shared" ca="1" si="15"/>
        <v>5.7256054108014043E-2</v>
      </c>
      <c r="AF35" s="10"/>
      <c r="AG35" s="10"/>
      <c r="AH35" s="10"/>
    </row>
    <row r="36" spans="2:34" hidden="1" outlineLevel="1" x14ac:dyDescent="0.2">
      <c r="B36" s="48" t="s">
        <v>150</v>
      </c>
      <c r="C36" s="4"/>
      <c r="D36" s="2">
        <f t="shared" ref="D36:Y36" ca="1" si="20">D111</f>
        <v>-104.28800000000001</v>
      </c>
      <c r="E36" s="2">
        <f t="shared" ca="1" si="20"/>
        <v>-68.096000000000004</v>
      </c>
      <c r="F36" s="2">
        <f t="shared" ca="1" si="20"/>
        <v>-72.296000000000006</v>
      </c>
      <c r="G36" s="2">
        <f t="shared" ca="1" si="20"/>
        <v>-76.706000000000017</v>
      </c>
      <c r="H36" s="2">
        <f t="shared" ca="1" si="20"/>
        <v>-81.336500000000015</v>
      </c>
      <c r="I36" s="2">
        <f t="shared" ca="1" si="20"/>
        <v>-86.198525000000018</v>
      </c>
      <c r="J36" s="2">
        <f t="shared" ca="1" si="20"/>
        <v>-91.30365125000003</v>
      </c>
      <c r="K36" s="2">
        <f t="shared" ca="1" si="20"/>
        <v>-96.664033812500051</v>
      </c>
      <c r="L36" s="2">
        <f t="shared" ca="1" si="20"/>
        <v>-102.29243550312506</v>
      </c>
      <c r="M36" s="2">
        <f t="shared" ca="1" si="20"/>
        <v>-108.20225727828131</v>
      </c>
      <c r="N36" s="2">
        <f t="shared" ca="1" si="20"/>
        <v>-114.40757014219537</v>
      </c>
      <c r="O36" s="2">
        <f t="shared" ca="1" si="20"/>
        <v>-120.92314864930516</v>
      </c>
      <c r="P36" s="2">
        <f t="shared" ca="1" si="20"/>
        <v>-127.76450608177043</v>
      </c>
      <c r="Q36" s="2">
        <f t="shared" ca="1" si="20"/>
        <v>-134.94793138585896</v>
      </c>
      <c r="R36" s="2">
        <f t="shared" ca="1" si="20"/>
        <v>-142.49052795515192</v>
      </c>
      <c r="S36" s="2">
        <f t="shared" ca="1" si="20"/>
        <v>-150.41025435290953</v>
      </c>
      <c r="T36" s="2">
        <f t="shared" ca="1" si="20"/>
        <v>-158.72596707055501</v>
      </c>
      <c r="U36" s="2">
        <f t="shared" ca="1" si="20"/>
        <v>-167.45746542408278</v>
      </c>
      <c r="V36" s="2">
        <f t="shared" ca="1" si="20"/>
        <v>-176.62553869528691</v>
      </c>
      <c r="W36" s="2">
        <f t="shared" ca="1" si="20"/>
        <v>-186.25201563005126</v>
      </c>
      <c r="X36" s="2">
        <f t="shared" ca="1" si="20"/>
        <v>-196.35981641155382</v>
      </c>
      <c r="Y36" s="2">
        <f t="shared" ca="1" si="20"/>
        <v>-206.97300723213152</v>
      </c>
      <c r="AE36" s="12">
        <f t="shared" ca="1" si="15"/>
        <v>3.3178138468708651E-2</v>
      </c>
      <c r="AF36" s="10"/>
      <c r="AG36" s="10"/>
      <c r="AH36" s="10"/>
    </row>
    <row r="37" spans="2:34" hidden="1" outlineLevel="1" x14ac:dyDescent="0.2">
      <c r="B37" s="5" t="s">
        <v>151</v>
      </c>
      <c r="C37" s="220"/>
      <c r="D37" s="24">
        <f ca="1">SUM(D31:D36)</f>
        <v>-40</v>
      </c>
      <c r="E37" s="24">
        <f t="shared" ref="E37:Y37" ca="1" si="21">SUM(E31:E36)</f>
        <v>0</v>
      </c>
      <c r="F37" s="24">
        <f t="shared" ca="1" si="21"/>
        <v>0</v>
      </c>
      <c r="G37" s="24">
        <f t="shared" ca="1" si="21"/>
        <v>0</v>
      </c>
      <c r="H37" s="24">
        <f t="shared" ca="1" si="21"/>
        <v>0</v>
      </c>
      <c r="I37" s="24">
        <f t="shared" ca="1" si="21"/>
        <v>0</v>
      </c>
      <c r="J37" s="24">
        <f t="shared" ca="1" si="21"/>
        <v>0</v>
      </c>
      <c r="K37" s="24">
        <f t="shared" ca="1" si="21"/>
        <v>0</v>
      </c>
      <c r="L37" s="24">
        <f t="shared" ca="1" si="21"/>
        <v>0</v>
      </c>
      <c r="M37" s="24">
        <f t="shared" ca="1" si="21"/>
        <v>0</v>
      </c>
      <c r="N37" s="24">
        <f t="shared" ca="1" si="21"/>
        <v>0</v>
      </c>
      <c r="O37" s="24">
        <f t="shared" ca="1" si="21"/>
        <v>0</v>
      </c>
      <c r="P37" s="24">
        <f t="shared" ca="1" si="21"/>
        <v>0</v>
      </c>
      <c r="Q37" s="24">
        <f t="shared" ca="1" si="21"/>
        <v>0</v>
      </c>
      <c r="R37" s="24">
        <f t="shared" ca="1" si="21"/>
        <v>0</v>
      </c>
      <c r="S37" s="24">
        <f t="shared" ca="1" si="21"/>
        <v>0</v>
      </c>
      <c r="T37" s="24">
        <f t="shared" ca="1" si="21"/>
        <v>0</v>
      </c>
      <c r="U37" s="24">
        <f t="shared" ca="1" si="21"/>
        <v>0</v>
      </c>
      <c r="V37" s="24">
        <f t="shared" ca="1" si="21"/>
        <v>0</v>
      </c>
      <c r="W37" s="24">
        <f t="shared" ca="1" si="21"/>
        <v>0</v>
      </c>
      <c r="X37" s="24">
        <f t="shared" ca="1" si="21"/>
        <v>0</v>
      </c>
      <c r="Y37" s="24">
        <f t="shared" ca="1" si="21"/>
        <v>0</v>
      </c>
      <c r="Z37" s="5"/>
      <c r="AA37" s="5"/>
      <c r="AB37" s="5"/>
      <c r="AC37" s="5"/>
      <c r="AD37" s="5"/>
      <c r="AE37" s="14">
        <f t="shared" ca="1" si="15"/>
        <v>-1</v>
      </c>
      <c r="AF37" s="221"/>
      <c r="AG37" s="221"/>
      <c r="AH37" s="221"/>
    </row>
    <row r="38" spans="2:34" ht="4" hidden="1" customHeight="1" outlineLevel="1" x14ac:dyDescent="0.2">
      <c r="C38" s="4"/>
      <c r="AE38" s="12"/>
      <c r="AF38" s="10"/>
      <c r="AG38" s="10"/>
      <c r="AH38" s="10"/>
    </row>
    <row r="39" spans="2:34" collapsed="1" x14ac:dyDescent="0.2">
      <c r="B39" s="213" t="s">
        <v>152</v>
      </c>
      <c r="C39" s="213"/>
      <c r="D39" s="214"/>
      <c r="E39" s="214"/>
      <c r="F39" s="214"/>
      <c r="G39" s="214"/>
      <c r="H39" s="214"/>
      <c r="I39" s="214"/>
      <c r="J39" s="214"/>
      <c r="K39" s="214"/>
      <c r="L39" s="214"/>
      <c r="M39" s="214"/>
      <c r="N39" s="214"/>
      <c r="O39" s="214"/>
      <c r="P39" s="214"/>
      <c r="Q39" s="214"/>
      <c r="R39" s="214"/>
      <c r="S39" s="214"/>
      <c r="T39" s="214"/>
      <c r="U39" s="214"/>
      <c r="V39" s="214"/>
      <c r="W39" s="214"/>
      <c r="X39" s="214"/>
      <c r="Y39" s="214"/>
      <c r="AA39" s="214"/>
      <c r="AB39" s="214"/>
      <c r="AC39" s="214"/>
      <c r="AD39" s="214"/>
      <c r="AE39" s="223"/>
      <c r="AF39" s="215"/>
      <c r="AG39" s="215"/>
      <c r="AH39" s="215"/>
    </row>
    <row r="40" spans="2:34" x14ac:dyDescent="0.2">
      <c r="B40" s="52" t="s">
        <v>153</v>
      </c>
      <c r="C40" s="52"/>
      <c r="D40" s="53">
        <f t="shared" ref="D40:Y40" si="22">D125</f>
        <v>1000</v>
      </c>
      <c r="E40" s="53">
        <f t="shared" si="22"/>
        <v>1050</v>
      </c>
      <c r="F40" s="53">
        <f t="shared" si="22"/>
        <v>1102.5</v>
      </c>
      <c r="G40" s="53">
        <f t="shared" si="22"/>
        <v>1157.625</v>
      </c>
      <c r="H40" s="53">
        <f t="shared" si="22"/>
        <v>1215.5062500000001</v>
      </c>
      <c r="I40" s="53">
        <f t="shared" si="22"/>
        <v>1276.2815625000003</v>
      </c>
      <c r="J40" s="53">
        <f t="shared" si="22"/>
        <v>1340.0956406250002</v>
      </c>
      <c r="K40" s="53">
        <f t="shared" si="22"/>
        <v>1407.1004226562504</v>
      </c>
      <c r="L40" s="53">
        <f t="shared" si="22"/>
        <v>1477.4554437890631</v>
      </c>
      <c r="M40" s="53">
        <f t="shared" si="22"/>
        <v>1551.3282159785163</v>
      </c>
      <c r="N40" s="53">
        <f t="shared" si="22"/>
        <v>1628.894626777442</v>
      </c>
      <c r="O40" s="53">
        <f t="shared" si="22"/>
        <v>1710.3393581163143</v>
      </c>
      <c r="P40" s="53">
        <f t="shared" si="22"/>
        <v>1795.8563260221304</v>
      </c>
      <c r="Q40" s="53">
        <f t="shared" si="22"/>
        <v>1885.6491423232367</v>
      </c>
      <c r="R40" s="53">
        <f t="shared" si="22"/>
        <v>1979.9315994393987</v>
      </c>
      <c r="S40" s="53">
        <f t="shared" si="22"/>
        <v>2078.928179411369</v>
      </c>
      <c r="T40" s="53">
        <f t="shared" si="22"/>
        <v>2182.8745883819374</v>
      </c>
      <c r="U40" s="53">
        <f t="shared" si="22"/>
        <v>2292.0183178010343</v>
      </c>
      <c r="V40" s="53">
        <f t="shared" si="22"/>
        <v>2406.6192336910863</v>
      </c>
      <c r="W40" s="53">
        <f t="shared" si="22"/>
        <v>2526.9501953756408</v>
      </c>
      <c r="X40" s="53">
        <f t="shared" si="22"/>
        <v>2653.2977051444227</v>
      </c>
      <c r="Y40" s="53">
        <f t="shared" si="22"/>
        <v>2785.9625904016439</v>
      </c>
      <c r="AA40" s="177"/>
      <c r="AB40" s="177"/>
      <c r="AC40" s="177"/>
      <c r="AD40" s="177"/>
      <c r="AE40" s="54">
        <f t="shared" ref="AE40:AE48" si="23">IFERROR((Y40/D40)^(1/21)-1,"")</f>
        <v>5.0000000000000044E-2</v>
      </c>
      <c r="AF40" s="10"/>
      <c r="AG40" s="10"/>
      <c r="AH40" s="10"/>
    </row>
    <row r="41" spans="2:34" x14ac:dyDescent="0.2">
      <c r="B41" s="48" t="s">
        <v>154</v>
      </c>
      <c r="C41" s="4"/>
      <c r="D41" s="2">
        <f t="shared" ref="D41:Y41" ca="1" si="24">-D25</f>
        <v>-190</v>
      </c>
      <c r="E41" s="2">
        <f t="shared" ca="1" si="24"/>
        <v>-190</v>
      </c>
      <c r="F41" s="2">
        <f t="shared" ca="1" si="24"/>
        <v>-190</v>
      </c>
      <c r="G41" s="2">
        <f t="shared" ca="1" si="24"/>
        <v>-190</v>
      </c>
      <c r="H41" s="2">
        <f t="shared" ca="1" si="24"/>
        <v>-190</v>
      </c>
      <c r="I41" s="2">
        <f t="shared" ca="1" si="24"/>
        <v>-190</v>
      </c>
      <c r="J41" s="2">
        <f t="shared" ca="1" si="24"/>
        <v>-190</v>
      </c>
      <c r="K41" s="2">
        <f t="shared" ca="1" si="24"/>
        <v>-190</v>
      </c>
      <c r="L41" s="2">
        <f t="shared" ca="1" si="24"/>
        <v>-190</v>
      </c>
      <c r="M41" s="2">
        <f t="shared" ca="1" si="24"/>
        <v>-190</v>
      </c>
      <c r="N41" s="2">
        <f t="shared" ca="1" si="24"/>
        <v>-190</v>
      </c>
      <c r="O41" s="2">
        <f t="shared" ca="1" si="24"/>
        <v>-190</v>
      </c>
      <c r="P41" s="2">
        <f t="shared" ca="1" si="24"/>
        <v>-190</v>
      </c>
      <c r="Q41" s="2">
        <f t="shared" ca="1" si="24"/>
        <v>-190</v>
      </c>
      <c r="R41" s="2">
        <f t="shared" ca="1" si="24"/>
        <v>-190</v>
      </c>
      <c r="S41" s="2">
        <f t="shared" ca="1" si="24"/>
        <v>-190</v>
      </c>
      <c r="T41" s="2">
        <f t="shared" ca="1" si="24"/>
        <v>-190</v>
      </c>
      <c r="U41" s="2">
        <f t="shared" ca="1" si="24"/>
        <v>-190</v>
      </c>
      <c r="V41" s="2">
        <f t="shared" ca="1" si="24"/>
        <v>-190</v>
      </c>
      <c r="W41" s="2">
        <f t="shared" ca="1" si="24"/>
        <v>-190</v>
      </c>
      <c r="X41" s="2">
        <f t="shared" ca="1" si="24"/>
        <v>-190</v>
      </c>
      <c r="Y41" s="2">
        <f t="shared" ca="1" si="24"/>
        <v>-190</v>
      </c>
      <c r="AE41" s="12">
        <f t="shared" ca="1" si="23"/>
        <v>0</v>
      </c>
      <c r="AF41" s="10"/>
      <c r="AG41" s="10"/>
      <c r="AH41" s="10"/>
    </row>
    <row r="42" spans="2:34" x14ac:dyDescent="0.2">
      <c r="B42" s="48" t="s">
        <v>155</v>
      </c>
      <c r="C42" s="4"/>
      <c r="D42" s="2">
        <f t="shared" ref="D42:Y42" ca="1" si="25">D24</f>
        <v>104.28800000000001</v>
      </c>
      <c r="E42" s="2">
        <f t="shared" ca="1" si="25"/>
        <v>224.52800000000002</v>
      </c>
      <c r="F42" s="2">
        <f t="shared" ca="1" si="25"/>
        <v>403.47480000000002</v>
      </c>
      <c r="G42" s="2">
        <f t="shared" ca="1" si="25"/>
        <v>661.74446</v>
      </c>
      <c r="H42" s="2">
        <f t="shared" ca="1" si="25"/>
        <v>1024.3223555</v>
      </c>
      <c r="I42" s="2">
        <f t="shared" ca="1" si="25"/>
        <v>1520.2498226999999</v>
      </c>
      <c r="J42" s="2">
        <f t="shared" ca="1" si="25"/>
        <v>2181.6471574625002</v>
      </c>
      <c r="K42" s="2">
        <f t="shared" ca="1" si="25"/>
        <v>3041.8876963868747</v>
      </c>
      <c r="L42" s="2">
        <f t="shared" ca="1" si="25"/>
        <v>4132.7936332157333</v>
      </c>
      <c r="M42" s="2">
        <f t="shared" ca="1" si="25"/>
        <v>5480.833980458734</v>
      </c>
      <c r="N42" s="2">
        <f t="shared" ca="1" si="25"/>
        <v>7102.4708952270803</v>
      </c>
      <c r="O42" s="2">
        <f t="shared" ca="1" si="25"/>
        <v>8999.0117676831542</v>
      </c>
      <c r="P42" s="2">
        <f t="shared" ca="1" si="25"/>
        <v>11151.553921493633</v>
      </c>
      <c r="Q42" s="2">
        <f t="shared" ca="1" si="25"/>
        <v>13516.812637178218</v>
      </c>
      <c r="R42" s="2">
        <f t="shared" ca="1" si="25"/>
        <v>16362.665692569013</v>
      </c>
      <c r="S42" s="2">
        <f t="shared" ca="1" si="25"/>
        <v>19785.609085435724</v>
      </c>
      <c r="T42" s="2">
        <f t="shared" ca="1" si="25"/>
        <v>23901.456869593421</v>
      </c>
      <c r="U42" s="2">
        <f t="shared" ca="1" si="25"/>
        <v>28849.205708936188</v>
      </c>
      <c r="V42" s="2">
        <f t="shared" ca="1" si="25"/>
        <v>34795.672389418709</v>
      </c>
      <c r="W42" s="2">
        <f t="shared" ca="1" si="25"/>
        <v>41941.058882932499</v>
      </c>
      <c r="X42" s="2">
        <f t="shared" ca="1" si="25"/>
        <v>50525.630475930549</v>
      </c>
      <c r="Y42" s="2">
        <f t="shared" ca="1" si="25"/>
        <v>60837.729578348786</v>
      </c>
      <c r="AE42" s="12">
        <f t="shared" ca="1" si="23"/>
        <v>0.35428904284469964</v>
      </c>
      <c r="AF42" s="10"/>
      <c r="AG42" s="10"/>
      <c r="AH42" s="10"/>
    </row>
    <row r="43" spans="2:34" x14ac:dyDescent="0.2">
      <c r="B43" s="48" t="s">
        <v>156</v>
      </c>
      <c r="C43" s="4"/>
      <c r="D43" s="2">
        <f t="shared" ref="D43:Y43" ca="1" si="26">D129</f>
        <v>0</v>
      </c>
      <c r="E43" s="2">
        <f t="shared" ca="1" si="26"/>
        <v>0</v>
      </c>
      <c r="F43" s="2">
        <f t="shared" ca="1" si="26"/>
        <v>0</v>
      </c>
      <c r="G43" s="2">
        <f t="shared" ca="1" si="26"/>
        <v>0</v>
      </c>
      <c r="H43" s="2">
        <f t="shared" ca="1" si="26"/>
        <v>0</v>
      </c>
      <c r="I43" s="2">
        <f t="shared" ca="1" si="26"/>
        <v>0</v>
      </c>
      <c r="J43" s="2">
        <f t="shared" ca="1" si="26"/>
        <v>0</v>
      </c>
      <c r="K43" s="2">
        <f t="shared" ca="1" si="26"/>
        <v>0</v>
      </c>
      <c r="L43" s="2">
        <f t="shared" ca="1" si="26"/>
        <v>0</v>
      </c>
      <c r="M43" s="2">
        <f t="shared" ca="1" si="26"/>
        <v>0</v>
      </c>
      <c r="N43" s="2">
        <f t="shared" ca="1" si="26"/>
        <v>0</v>
      </c>
      <c r="O43" s="2">
        <f t="shared" ca="1" si="26"/>
        <v>0</v>
      </c>
      <c r="P43" s="2">
        <f t="shared" ca="1" si="26"/>
        <v>0</v>
      </c>
      <c r="Q43" s="2">
        <f t="shared" ca="1" si="26"/>
        <v>0</v>
      </c>
      <c r="R43" s="2">
        <f t="shared" ca="1" si="26"/>
        <v>0</v>
      </c>
      <c r="S43" s="2">
        <f t="shared" ca="1" si="26"/>
        <v>0</v>
      </c>
      <c r="T43" s="2">
        <f t="shared" ca="1" si="26"/>
        <v>0</v>
      </c>
      <c r="U43" s="2">
        <f t="shared" ca="1" si="26"/>
        <v>0</v>
      </c>
      <c r="V43" s="2">
        <f t="shared" ca="1" si="26"/>
        <v>0</v>
      </c>
      <c r="W43" s="2">
        <f t="shared" ca="1" si="26"/>
        <v>0</v>
      </c>
      <c r="X43" s="2">
        <f t="shared" ca="1" si="26"/>
        <v>0</v>
      </c>
      <c r="Y43" s="2">
        <f t="shared" ca="1" si="26"/>
        <v>0</v>
      </c>
      <c r="AE43" s="12" t="str">
        <f t="shared" ca="1" si="23"/>
        <v/>
      </c>
      <c r="AF43" s="10"/>
      <c r="AG43" s="10"/>
      <c r="AH43" s="10"/>
    </row>
    <row r="44" spans="2:34" x14ac:dyDescent="0.2">
      <c r="B44" s="52" t="s">
        <v>157</v>
      </c>
      <c r="C44" s="218"/>
      <c r="D44" s="53">
        <f ca="1">SUM(D40:D43)</f>
        <v>914.28800000000001</v>
      </c>
      <c r="E44" s="53">
        <f t="shared" ref="E44:Y44" ca="1" si="27">SUM(E40:E43)</f>
        <v>1084.528</v>
      </c>
      <c r="F44" s="53">
        <f t="shared" ca="1" si="27"/>
        <v>1315.9748</v>
      </c>
      <c r="G44" s="53">
        <f t="shared" ca="1" si="27"/>
        <v>1629.3694599999999</v>
      </c>
      <c r="H44" s="53">
        <f t="shared" ca="1" si="27"/>
        <v>2049.8286054999999</v>
      </c>
      <c r="I44" s="53">
        <f t="shared" ca="1" si="27"/>
        <v>2606.5313851999999</v>
      </c>
      <c r="J44" s="53">
        <f t="shared" ca="1" si="27"/>
        <v>3331.7427980875004</v>
      </c>
      <c r="K44" s="53">
        <f t="shared" ca="1" si="27"/>
        <v>4258.9881190431252</v>
      </c>
      <c r="L44" s="53">
        <f t="shared" ca="1" si="27"/>
        <v>5420.2490770047962</v>
      </c>
      <c r="M44" s="53">
        <f t="shared" ca="1" si="27"/>
        <v>6842.1621964372498</v>
      </c>
      <c r="N44" s="53">
        <f t="shared" ca="1" si="27"/>
        <v>8541.3655220045221</v>
      </c>
      <c r="O44" s="53">
        <f t="shared" ca="1" si="27"/>
        <v>10519.351125799469</v>
      </c>
      <c r="P44" s="53">
        <f t="shared" ca="1" si="27"/>
        <v>12757.410247515763</v>
      </c>
      <c r="Q44" s="53">
        <f t="shared" ca="1" si="27"/>
        <v>15212.461779501455</v>
      </c>
      <c r="R44" s="53">
        <f t="shared" ca="1" si="27"/>
        <v>18152.597292008413</v>
      </c>
      <c r="S44" s="53">
        <f t="shared" ca="1" si="27"/>
        <v>21674.537264847095</v>
      </c>
      <c r="T44" s="53">
        <f t="shared" ca="1" si="27"/>
        <v>25894.331457975357</v>
      </c>
      <c r="U44" s="53">
        <f t="shared" ca="1" si="27"/>
        <v>30951.224026737222</v>
      </c>
      <c r="V44" s="53">
        <f t="shared" ca="1" si="27"/>
        <v>37012.291623109792</v>
      </c>
      <c r="W44" s="53">
        <f t="shared" ca="1" si="27"/>
        <v>44278.00907830814</v>
      </c>
      <c r="X44" s="53">
        <f t="shared" ca="1" si="27"/>
        <v>52988.928181074974</v>
      </c>
      <c r="Y44" s="53">
        <f t="shared" ca="1" si="27"/>
        <v>63433.692168750429</v>
      </c>
      <c r="AA44" s="177"/>
      <c r="AB44" s="177"/>
      <c r="AC44" s="177"/>
      <c r="AD44" s="177"/>
      <c r="AE44" s="54">
        <f t="shared" ca="1" si="23"/>
        <v>0.22370842753449671</v>
      </c>
      <c r="AF44" s="185"/>
      <c r="AG44" s="185"/>
      <c r="AH44" s="185"/>
    </row>
    <row r="45" spans="2:34" x14ac:dyDescent="0.2">
      <c r="B45" s="18" t="s">
        <v>158</v>
      </c>
      <c r="C45" s="18"/>
      <c r="D45" s="225">
        <f>D133/10^6</f>
        <v>8.5</v>
      </c>
      <c r="E45" s="225">
        <f t="shared" ref="E45:Y45" si="28">E133/10^6</f>
        <v>8.5</v>
      </c>
      <c r="F45" s="225">
        <f t="shared" si="28"/>
        <v>8.5</v>
      </c>
      <c r="G45" s="225">
        <f t="shared" si="28"/>
        <v>8.5</v>
      </c>
      <c r="H45" s="225">
        <f t="shared" si="28"/>
        <v>8.5</v>
      </c>
      <c r="I45" s="225">
        <f t="shared" si="28"/>
        <v>8.5</v>
      </c>
      <c r="J45" s="225">
        <f t="shared" si="28"/>
        <v>8.5</v>
      </c>
      <c r="K45" s="225">
        <f t="shared" si="28"/>
        <v>8.5</v>
      </c>
      <c r="L45" s="225">
        <f t="shared" si="28"/>
        <v>8.5</v>
      </c>
      <c r="M45" s="225">
        <f t="shared" si="28"/>
        <v>8.5</v>
      </c>
      <c r="N45" s="225">
        <f t="shared" si="28"/>
        <v>8.5</v>
      </c>
      <c r="O45" s="225">
        <f t="shared" si="28"/>
        <v>8.5</v>
      </c>
      <c r="P45" s="225">
        <f t="shared" si="28"/>
        <v>8.5</v>
      </c>
      <c r="Q45" s="225">
        <f t="shared" si="28"/>
        <v>8.5</v>
      </c>
      <c r="R45" s="225">
        <f t="shared" si="28"/>
        <v>8.5</v>
      </c>
      <c r="S45" s="225">
        <f t="shared" si="28"/>
        <v>8.5</v>
      </c>
      <c r="T45" s="225">
        <f t="shared" si="28"/>
        <v>8.5</v>
      </c>
      <c r="U45" s="225">
        <f t="shared" si="28"/>
        <v>8.5</v>
      </c>
      <c r="V45" s="225">
        <f t="shared" si="28"/>
        <v>8.5</v>
      </c>
      <c r="W45" s="225">
        <f t="shared" si="28"/>
        <v>8.5</v>
      </c>
      <c r="X45" s="225">
        <f t="shared" si="28"/>
        <v>8.5</v>
      </c>
      <c r="Y45" s="225">
        <f t="shared" si="28"/>
        <v>8.5</v>
      </c>
      <c r="AE45" s="12">
        <f t="shared" si="23"/>
        <v>0</v>
      </c>
      <c r="AF45" s="10"/>
      <c r="AG45" s="10"/>
      <c r="AH45" s="10"/>
    </row>
    <row r="46" spans="2:34" x14ac:dyDescent="0.2">
      <c r="B46" s="49" t="s">
        <v>159</v>
      </c>
      <c r="C46" s="4"/>
      <c r="D46" s="2">
        <f ca="1">D44/D45</f>
        <v>107.56329411764706</v>
      </c>
      <c r="E46" s="2">
        <f t="shared" ref="E46:Y46" ca="1" si="29">E44/E45</f>
        <v>127.59152941176471</v>
      </c>
      <c r="F46" s="2">
        <f t="shared" ca="1" si="29"/>
        <v>154.82056470588236</v>
      </c>
      <c r="G46" s="2">
        <f t="shared" ca="1" si="29"/>
        <v>191.69052470588235</v>
      </c>
      <c r="H46" s="2">
        <f t="shared" ca="1" si="29"/>
        <v>241.15630652941175</v>
      </c>
      <c r="I46" s="2">
        <f t="shared" ca="1" si="29"/>
        <v>306.6507512</v>
      </c>
      <c r="J46" s="2">
        <f t="shared" ca="1" si="29"/>
        <v>391.96974095147061</v>
      </c>
      <c r="K46" s="2">
        <f t="shared" ca="1" si="29"/>
        <v>501.05742576977946</v>
      </c>
      <c r="L46" s="2">
        <f t="shared" ca="1" si="29"/>
        <v>637.67636200056427</v>
      </c>
      <c r="M46" s="2">
        <f t="shared" ca="1" si="29"/>
        <v>804.96025840438233</v>
      </c>
      <c r="N46" s="2">
        <f t="shared" ca="1" si="29"/>
        <v>1004.8665320005321</v>
      </c>
      <c r="O46" s="2">
        <f t="shared" ca="1" si="29"/>
        <v>1237.5707206822904</v>
      </c>
      <c r="P46" s="2">
        <f t="shared" ca="1" si="29"/>
        <v>1500.871793825384</v>
      </c>
      <c r="Q46" s="2">
        <f t="shared" ca="1" si="29"/>
        <v>1789.7013858237005</v>
      </c>
      <c r="R46" s="2">
        <f t="shared" ca="1" si="29"/>
        <v>2135.5996814127543</v>
      </c>
      <c r="S46" s="2">
        <f t="shared" ca="1" si="29"/>
        <v>2549.9455605702465</v>
      </c>
      <c r="T46" s="2">
        <f t="shared" ca="1" si="29"/>
        <v>3046.391936232395</v>
      </c>
      <c r="U46" s="2">
        <f t="shared" ca="1" si="29"/>
        <v>3641.320473733791</v>
      </c>
      <c r="V46" s="2">
        <f t="shared" ca="1" si="29"/>
        <v>4354.3872497776229</v>
      </c>
      <c r="W46" s="2">
        <f t="shared" ca="1" si="29"/>
        <v>5209.1775386244872</v>
      </c>
      <c r="X46" s="2">
        <f t="shared" ca="1" si="29"/>
        <v>6233.9915507147025</v>
      </c>
      <c r="Y46" s="2">
        <f t="shared" ca="1" si="29"/>
        <v>7462.7873139706389</v>
      </c>
      <c r="AE46" s="12">
        <f t="shared" ca="1" si="23"/>
        <v>0.22370842753449671</v>
      </c>
      <c r="AF46" s="10"/>
      <c r="AG46" s="10"/>
      <c r="AH46" s="10"/>
    </row>
    <row r="47" spans="2:34" x14ac:dyDescent="0.2">
      <c r="B47" s="49" t="s">
        <v>160</v>
      </c>
      <c r="C47" s="4"/>
      <c r="D47" s="2">
        <f t="shared" ref="D47:Y47" ca="1" si="30">D137</f>
        <v>1.1912188235294114</v>
      </c>
      <c r="E47" s="2">
        <f t="shared" ca="1" si="30"/>
        <v>1.2617788235294116</v>
      </c>
      <c r="F47" s="2">
        <f t="shared" ca="1" si="30"/>
        <v>1.3396023529411762</v>
      </c>
      <c r="G47" s="2">
        <f t="shared" ca="1" si="30"/>
        <v>1.4213170588235291</v>
      </c>
      <c r="H47" s="2">
        <f t="shared" ca="1" si="30"/>
        <v>1.5071174999999999</v>
      </c>
      <c r="I47" s="2">
        <f t="shared" ca="1" si="30"/>
        <v>1.597207963235294</v>
      </c>
      <c r="J47" s="2">
        <f t="shared" ca="1" si="30"/>
        <v>1.6918029496323532</v>
      </c>
      <c r="K47" s="2">
        <f t="shared" ca="1" si="30"/>
        <v>1.7911276853492653</v>
      </c>
      <c r="L47" s="2">
        <f t="shared" ca="1" si="30"/>
        <v>1.8954186578520229</v>
      </c>
      <c r="M47" s="2">
        <f t="shared" ca="1" si="30"/>
        <v>2.0049241789799179</v>
      </c>
      <c r="N47" s="2">
        <f t="shared" ca="1" si="30"/>
        <v>2.1199049761642077</v>
      </c>
      <c r="O47" s="2">
        <f t="shared" ca="1" si="30"/>
        <v>2.2406348132077127</v>
      </c>
      <c r="P47" s="2">
        <f t="shared" ca="1" si="30"/>
        <v>2.3674011421033927</v>
      </c>
      <c r="Q47" s="2">
        <f t="shared" ca="1" si="30"/>
        <v>2.5005057874438563</v>
      </c>
      <c r="R47" s="2">
        <f t="shared" ca="1" si="30"/>
        <v>2.6402656650513432</v>
      </c>
      <c r="S47" s="2">
        <f t="shared" ca="1" si="30"/>
        <v>2.787013536539205</v>
      </c>
      <c r="T47" s="2">
        <f t="shared" ca="1" si="30"/>
        <v>2.9410988016014596</v>
      </c>
      <c r="U47" s="2">
        <f t="shared" ca="1" si="30"/>
        <v>3.1028883299168268</v>
      </c>
      <c r="V47" s="2">
        <f t="shared" ca="1" si="30"/>
        <v>3.2727673346479622</v>
      </c>
      <c r="W47" s="2">
        <f t="shared" ca="1" si="30"/>
        <v>3.4511402896156547</v>
      </c>
      <c r="X47" s="2">
        <f t="shared" ca="1" si="30"/>
        <v>3.6384318923317318</v>
      </c>
      <c r="Y47" s="2">
        <f t="shared" ca="1" si="30"/>
        <v>3.8350880751836125</v>
      </c>
      <c r="AE47" s="12">
        <f t="shared" ca="1" si="23"/>
        <v>5.7256054108014043E-2</v>
      </c>
      <c r="AF47" s="10"/>
      <c r="AG47" s="10"/>
      <c r="AH47" s="10"/>
    </row>
    <row r="48" spans="2:34" x14ac:dyDescent="0.2">
      <c r="B48" s="216" t="s">
        <v>119</v>
      </c>
      <c r="C48" s="216"/>
      <c r="D48" s="53">
        <f t="shared" ref="D48:Y48" ca="1" si="31">D143</f>
        <v>108.75451294117649</v>
      </c>
      <c r="E48" s="53">
        <f t="shared" ca="1" si="31"/>
        <v>130.28030512585084</v>
      </c>
      <c r="F48" s="53">
        <f t="shared" ca="1" si="31"/>
        <v>159.45097849929431</v>
      </c>
      <c r="G48" s="53">
        <f t="shared" ca="1" si="31"/>
        <v>198.8874810505927</v>
      </c>
      <c r="H48" s="53">
        <f t="shared" ca="1" si="31"/>
        <v>251.77414075303298</v>
      </c>
      <c r="I48" s="53">
        <f t="shared" ca="1" si="31"/>
        <v>321.81976152356725</v>
      </c>
      <c r="J48" s="53">
        <f t="shared" ca="1" si="31"/>
        <v>413.13469373054079</v>
      </c>
      <c r="K48" s="53">
        <f t="shared" ca="1" si="31"/>
        <v>530.00056233996554</v>
      </c>
      <c r="L48" s="53">
        <f t="shared" ca="1" si="31"/>
        <v>676.51607574713728</v>
      </c>
      <c r="M48" s="53">
        <f t="shared" ca="1" si="31"/>
        <v>856.11597217302108</v>
      </c>
      <c r="N48" s="53">
        <f t="shared" ca="1" si="31"/>
        <v>1070.9810372082559</v>
      </c>
      <c r="O48" s="53">
        <f t="shared" ca="1" si="31"/>
        <v>1321.3838944438435</v>
      </c>
      <c r="P48" s="53">
        <f t="shared" ca="1" si="31"/>
        <v>1605.0444863721889</v>
      </c>
      <c r="Q48" s="53">
        <f t="shared" ca="1" si="31"/>
        <v>1916.5952591224079</v>
      </c>
      <c r="R48" s="53">
        <f t="shared" ca="1" si="31"/>
        <v>2289.845992128638</v>
      </c>
      <c r="S48" s="53">
        <f t="shared" ca="1" si="31"/>
        <v>2737.1068204729199</v>
      </c>
      <c r="T48" s="53">
        <f t="shared" ca="1" si="31"/>
        <v>3273.1484064383085</v>
      </c>
      <c r="U48" s="53">
        <f t="shared" ca="1" si="31"/>
        <v>3915.6939650641784</v>
      </c>
      <c r="V48" s="53">
        <f t="shared" ca="1" si="31"/>
        <v>4686.0096917839819</v>
      </c>
      <c r="W48" s="53">
        <f t="shared" ca="1" si="31"/>
        <v>5609.6132722945267</v>
      </c>
      <c r="X48" s="53">
        <f t="shared" ca="1" si="31"/>
        <v>6717.1240908280106</v>
      </c>
      <c r="Y48" s="53">
        <f t="shared" ca="1" si="31"/>
        <v>8045.2834762260964</v>
      </c>
      <c r="Z48" s="3"/>
      <c r="AA48" s="52"/>
      <c r="AB48" s="52"/>
      <c r="AC48" s="52"/>
      <c r="AD48" s="52"/>
      <c r="AE48" s="54">
        <f t="shared" ca="1" si="23"/>
        <v>0.22745189073419914</v>
      </c>
      <c r="AF48" s="185"/>
      <c r="AG48" s="185"/>
      <c r="AH48" s="185"/>
    </row>
    <row r="49" spans="2:40" x14ac:dyDescent="0.2">
      <c r="C49" s="4"/>
      <c r="AF49" s="10"/>
      <c r="AG49" s="10"/>
      <c r="AH49" s="10"/>
    </row>
    <row r="50" spans="2:40" ht="16" x14ac:dyDescent="0.2">
      <c r="B50" s="315" t="s">
        <v>114</v>
      </c>
      <c r="C50" s="315"/>
      <c r="D50" s="315"/>
      <c r="E50" s="315"/>
      <c r="F50" s="315"/>
      <c r="G50" s="315"/>
      <c r="H50" s="315"/>
      <c r="I50" s="315"/>
      <c r="J50" s="315"/>
      <c r="K50" s="315"/>
      <c r="L50" s="315"/>
      <c r="M50" s="315"/>
      <c r="N50" s="315"/>
      <c r="O50" s="315"/>
      <c r="P50" s="315"/>
      <c r="Q50" s="315"/>
      <c r="R50" s="315"/>
      <c r="S50" s="315"/>
      <c r="T50" s="315"/>
      <c r="U50" s="315"/>
      <c r="V50" s="315"/>
      <c r="W50" s="315"/>
      <c r="X50" s="315"/>
      <c r="Y50" s="315"/>
      <c r="Z50" s="315"/>
      <c r="AA50" s="315"/>
      <c r="AB50" s="315"/>
      <c r="AC50" s="315"/>
      <c r="AD50" s="315"/>
      <c r="AE50" s="315"/>
      <c r="AF50" s="315"/>
      <c r="AG50" s="315"/>
      <c r="AH50" s="315"/>
      <c r="AI50" s="315"/>
      <c r="AJ50" s="315"/>
      <c r="AK50" s="315"/>
      <c r="AL50" s="315"/>
      <c r="AM50" s="315"/>
      <c r="AN50" s="315"/>
    </row>
    <row r="51" spans="2:40" x14ac:dyDescent="0.2">
      <c r="F51" s="2"/>
      <c r="G51" s="2"/>
      <c r="H51" s="2"/>
      <c r="I51" s="2"/>
      <c r="J51" s="2"/>
      <c r="K51" s="2"/>
      <c r="L51" s="2"/>
      <c r="M51" s="2"/>
      <c r="N51" s="2"/>
      <c r="O51" s="2"/>
      <c r="P51" s="2"/>
      <c r="Q51" s="2"/>
      <c r="R51" s="2"/>
      <c r="S51" s="2"/>
      <c r="T51" s="2"/>
      <c r="U51" s="2"/>
      <c r="V51" s="2"/>
      <c r="W51" s="2"/>
      <c r="X51" s="2"/>
      <c r="Y51" s="2"/>
      <c r="AA51" s="12"/>
      <c r="AB51" s="12"/>
      <c r="AC51" s="12"/>
      <c r="AD51" s="12"/>
      <c r="AE51" s="12"/>
    </row>
    <row r="52" spans="2:40" x14ac:dyDescent="0.2">
      <c r="F52" s="2"/>
      <c r="G52" s="2"/>
      <c r="H52" s="2"/>
      <c r="I52" s="2"/>
      <c r="J52" s="2"/>
      <c r="K52" s="2"/>
      <c r="L52" s="2"/>
      <c r="M52" s="2"/>
      <c r="N52" s="2"/>
      <c r="O52" s="2"/>
      <c r="P52" s="2"/>
      <c r="Q52" s="2"/>
      <c r="R52" s="2"/>
      <c r="S52" s="2"/>
      <c r="T52" s="2"/>
      <c r="U52" s="2"/>
      <c r="V52" s="2"/>
      <c r="W52" s="2"/>
      <c r="X52" s="2"/>
      <c r="Y52" s="2"/>
      <c r="AA52" s="12"/>
      <c r="AB52" s="12"/>
      <c r="AC52" s="12"/>
      <c r="AD52" s="12"/>
      <c r="AE52" s="12"/>
    </row>
    <row r="53" spans="2:40" x14ac:dyDescent="0.2">
      <c r="F53" s="2"/>
      <c r="G53" s="2"/>
      <c r="H53" s="2"/>
      <c r="I53" s="2"/>
      <c r="J53" s="2"/>
      <c r="K53" s="2"/>
      <c r="L53" s="2"/>
      <c r="M53" s="2"/>
      <c r="N53" s="2"/>
      <c r="O53" s="2"/>
      <c r="P53" s="2"/>
      <c r="Q53" s="2"/>
      <c r="R53" s="2"/>
      <c r="S53" s="2"/>
      <c r="T53" s="2"/>
      <c r="U53" s="2"/>
      <c r="V53" s="2"/>
      <c r="W53" s="2"/>
      <c r="X53" s="2"/>
      <c r="Y53" s="2"/>
      <c r="AA53" s="12"/>
      <c r="AB53" s="12"/>
      <c r="AC53" s="12"/>
      <c r="AD53" s="12"/>
      <c r="AE53" s="12"/>
    </row>
    <row r="54" spans="2:40" x14ac:dyDescent="0.2">
      <c r="F54" s="2"/>
      <c r="G54" s="2"/>
      <c r="H54" s="2"/>
      <c r="I54" s="2"/>
      <c r="J54" s="2"/>
      <c r="K54" s="2"/>
      <c r="L54" s="2"/>
      <c r="M54" s="2"/>
      <c r="N54" s="2"/>
      <c r="O54" s="2"/>
      <c r="P54" s="2"/>
      <c r="Q54" s="2"/>
      <c r="R54" s="2"/>
      <c r="S54" s="2"/>
      <c r="T54" s="2"/>
      <c r="U54" s="2"/>
      <c r="V54" s="2"/>
      <c r="W54" s="2"/>
      <c r="X54" s="2"/>
      <c r="Y54" s="2"/>
      <c r="AA54" s="12"/>
      <c r="AB54" s="12"/>
      <c r="AC54" s="12"/>
      <c r="AD54" s="12"/>
      <c r="AE54" s="12"/>
    </row>
    <row r="55" spans="2:40" x14ac:dyDescent="0.2">
      <c r="F55" s="2"/>
      <c r="G55" s="2"/>
      <c r="H55" s="2"/>
      <c r="I55" s="2"/>
      <c r="J55" s="2"/>
      <c r="K55" s="2"/>
      <c r="L55" s="2"/>
      <c r="M55" s="2"/>
      <c r="N55" s="2"/>
      <c r="O55" s="2"/>
      <c r="P55" s="2"/>
      <c r="Q55" s="2"/>
      <c r="R55" s="2"/>
      <c r="S55" s="2"/>
      <c r="T55" s="2"/>
      <c r="U55" s="2"/>
      <c r="V55" s="2"/>
      <c r="W55" s="2"/>
      <c r="X55" s="2"/>
      <c r="Y55" s="2"/>
      <c r="AA55" s="12"/>
      <c r="AB55" s="12"/>
      <c r="AC55" s="12"/>
      <c r="AD55" s="12"/>
      <c r="AE55" s="12"/>
    </row>
    <row r="56" spans="2:40" x14ac:dyDescent="0.2">
      <c r="F56" s="2"/>
      <c r="G56" s="2"/>
      <c r="H56" s="2"/>
      <c r="I56" s="2"/>
      <c r="J56" s="2"/>
      <c r="K56" s="2"/>
      <c r="L56" s="2"/>
      <c r="M56" s="2"/>
      <c r="N56" s="2"/>
      <c r="O56" s="2"/>
      <c r="P56" s="2"/>
      <c r="Q56" s="2"/>
      <c r="R56" s="2"/>
      <c r="S56" s="2"/>
      <c r="T56" s="2"/>
      <c r="U56" s="2"/>
      <c r="V56" s="2"/>
      <c r="W56" s="2"/>
      <c r="X56" s="2"/>
      <c r="Y56" s="2"/>
      <c r="AA56" s="12"/>
      <c r="AB56" s="12"/>
      <c r="AC56" s="12"/>
      <c r="AD56" s="12"/>
      <c r="AE56" s="12"/>
    </row>
    <row r="57" spans="2:40" x14ac:dyDescent="0.2">
      <c r="F57" s="2"/>
      <c r="G57" s="2"/>
      <c r="H57" s="2"/>
      <c r="I57" s="2"/>
      <c r="J57" s="2"/>
      <c r="K57" s="2"/>
      <c r="L57" s="2"/>
      <c r="M57" s="2"/>
      <c r="N57" s="2"/>
      <c r="O57" s="2"/>
      <c r="P57" s="2"/>
      <c r="Q57" s="2"/>
      <c r="R57" s="2"/>
      <c r="S57" s="2"/>
      <c r="T57" s="2"/>
      <c r="U57" s="2"/>
      <c r="V57" s="2"/>
      <c r="W57" s="2"/>
      <c r="X57" s="2"/>
      <c r="Y57" s="2"/>
      <c r="AA57" s="12"/>
      <c r="AB57" s="12"/>
      <c r="AC57" s="12"/>
      <c r="AD57" s="12"/>
      <c r="AE57" s="12"/>
    </row>
    <row r="58" spans="2:40" x14ac:dyDescent="0.2">
      <c r="F58" s="2"/>
      <c r="G58" s="2"/>
      <c r="H58" s="2"/>
      <c r="I58" s="2"/>
      <c r="J58" s="2"/>
      <c r="K58" s="2"/>
      <c r="L58" s="2"/>
      <c r="M58" s="2"/>
      <c r="N58" s="2"/>
      <c r="O58" s="2"/>
      <c r="P58" s="2"/>
      <c r="Q58" s="2"/>
      <c r="R58" s="2"/>
      <c r="S58" s="2"/>
      <c r="T58" s="2"/>
      <c r="U58" s="2"/>
      <c r="V58" s="2"/>
      <c r="W58" s="2"/>
      <c r="X58" s="2"/>
      <c r="Y58" s="2"/>
      <c r="AA58" s="12"/>
      <c r="AB58" s="12"/>
      <c r="AC58" s="12"/>
      <c r="AD58" s="12"/>
      <c r="AE58" s="12"/>
    </row>
    <row r="59" spans="2:40" x14ac:dyDescent="0.2">
      <c r="F59" s="2"/>
      <c r="G59" s="2"/>
      <c r="H59" s="2"/>
      <c r="I59" s="2"/>
      <c r="J59" s="2"/>
      <c r="K59" s="2"/>
      <c r="L59" s="2"/>
      <c r="M59" s="2"/>
      <c r="N59" s="2"/>
      <c r="O59" s="2"/>
      <c r="P59" s="2"/>
      <c r="Q59" s="2"/>
      <c r="R59" s="2"/>
      <c r="S59" s="2"/>
      <c r="T59" s="2"/>
      <c r="U59" s="2"/>
      <c r="V59" s="2"/>
      <c r="W59" s="2"/>
      <c r="X59" s="2"/>
      <c r="Y59" s="2"/>
      <c r="AA59" s="12"/>
      <c r="AB59" s="12"/>
      <c r="AC59" s="12"/>
      <c r="AD59" s="12"/>
      <c r="AE59" s="12"/>
    </row>
    <row r="60" spans="2:40" x14ac:dyDescent="0.2">
      <c r="F60" s="2"/>
      <c r="G60" s="2"/>
      <c r="H60" s="2"/>
      <c r="I60" s="2"/>
      <c r="J60" s="2"/>
      <c r="K60" s="2"/>
      <c r="L60" s="2"/>
      <c r="M60" s="2"/>
      <c r="N60" s="2"/>
      <c r="O60" s="2"/>
      <c r="P60" s="2"/>
      <c r="Q60" s="2"/>
      <c r="R60" s="2"/>
      <c r="S60" s="2"/>
      <c r="T60" s="2"/>
      <c r="U60" s="2"/>
      <c r="V60" s="2"/>
      <c r="W60" s="2"/>
      <c r="X60" s="2"/>
      <c r="Y60" s="2"/>
      <c r="AA60" s="12"/>
      <c r="AB60" s="12"/>
      <c r="AC60" s="12"/>
      <c r="AD60" s="12"/>
      <c r="AE60" s="12"/>
    </row>
    <row r="61" spans="2:40" x14ac:dyDescent="0.2">
      <c r="F61" s="2"/>
      <c r="G61" s="2"/>
      <c r="H61" s="2"/>
      <c r="I61" s="2"/>
      <c r="J61" s="2"/>
      <c r="K61" s="2"/>
      <c r="L61" s="2"/>
      <c r="M61" s="2"/>
      <c r="N61" s="2"/>
      <c r="O61" s="2"/>
      <c r="P61" s="2"/>
      <c r="Q61" s="2"/>
      <c r="R61" s="2"/>
      <c r="S61" s="2"/>
      <c r="T61" s="2"/>
      <c r="U61" s="2"/>
      <c r="V61" s="2"/>
      <c r="W61" s="2"/>
      <c r="X61" s="2"/>
      <c r="Y61" s="2"/>
      <c r="AA61" s="12"/>
      <c r="AB61" s="12"/>
      <c r="AC61" s="12"/>
      <c r="AD61" s="12"/>
      <c r="AE61" s="12"/>
    </row>
    <row r="62" spans="2:40" x14ac:dyDescent="0.2">
      <c r="F62" s="2"/>
      <c r="G62" s="2"/>
      <c r="H62" s="2"/>
      <c r="I62" s="2"/>
      <c r="J62" s="2"/>
      <c r="K62" s="2"/>
      <c r="L62" s="2"/>
      <c r="M62" s="2"/>
      <c r="N62" s="2"/>
      <c r="O62" s="2"/>
      <c r="P62" s="2"/>
      <c r="Q62" s="2"/>
      <c r="R62" s="2"/>
      <c r="S62" s="2"/>
      <c r="T62" s="2"/>
      <c r="U62" s="2"/>
      <c r="V62" s="2"/>
      <c r="W62" s="2"/>
      <c r="X62" s="2"/>
      <c r="Y62" s="2"/>
      <c r="AA62" s="12"/>
      <c r="AB62" s="12"/>
      <c r="AC62" s="12"/>
      <c r="AD62" s="12"/>
      <c r="AE62" s="12"/>
    </row>
    <row r="63" spans="2:40" x14ac:dyDescent="0.2">
      <c r="F63" s="2"/>
      <c r="G63" s="2"/>
      <c r="H63" s="2"/>
      <c r="I63" s="2"/>
      <c r="J63" s="2"/>
      <c r="K63" s="2"/>
      <c r="L63" s="2"/>
      <c r="M63" s="2"/>
      <c r="N63" s="2"/>
      <c r="O63" s="2"/>
      <c r="P63" s="2"/>
      <c r="Q63" s="2"/>
      <c r="R63" s="2"/>
      <c r="S63" s="2"/>
      <c r="T63" s="2"/>
      <c r="U63" s="2"/>
      <c r="V63" s="2"/>
      <c r="W63" s="2"/>
      <c r="X63" s="2"/>
      <c r="Y63" s="2"/>
      <c r="AA63" s="12"/>
      <c r="AB63" s="12"/>
      <c r="AC63" s="12"/>
      <c r="AD63" s="12"/>
      <c r="AE63" s="12"/>
    </row>
    <row r="64" spans="2:40" x14ac:dyDescent="0.2">
      <c r="F64" s="2"/>
      <c r="G64" s="2"/>
      <c r="H64" s="2"/>
      <c r="I64" s="2"/>
      <c r="J64" s="2"/>
      <c r="K64" s="2"/>
      <c r="L64" s="2"/>
      <c r="M64" s="2"/>
      <c r="N64" s="2"/>
      <c r="O64" s="2"/>
      <c r="P64" s="2"/>
      <c r="Q64" s="2"/>
      <c r="R64" s="2"/>
      <c r="S64" s="2"/>
      <c r="T64" s="2"/>
      <c r="U64" s="2"/>
      <c r="V64" s="2"/>
      <c r="W64" s="2"/>
      <c r="X64" s="2"/>
      <c r="Y64" s="2"/>
      <c r="AA64" s="12"/>
      <c r="AB64" s="12"/>
      <c r="AC64" s="12"/>
      <c r="AD64" s="12"/>
      <c r="AE64" s="12"/>
    </row>
    <row r="65" spans="2:40" x14ac:dyDescent="0.2">
      <c r="F65" s="2"/>
      <c r="G65" s="2"/>
      <c r="H65" s="2"/>
      <c r="I65" s="2"/>
      <c r="J65" s="2"/>
      <c r="K65" s="2"/>
      <c r="L65" s="2"/>
      <c r="M65" s="2"/>
      <c r="N65" s="2"/>
      <c r="O65" s="2"/>
      <c r="P65" s="2"/>
      <c r="Q65" s="2"/>
      <c r="R65" s="2"/>
      <c r="S65" s="2"/>
      <c r="T65" s="2"/>
      <c r="U65" s="2"/>
      <c r="V65" s="2"/>
      <c r="W65" s="2"/>
      <c r="X65" s="2"/>
      <c r="Y65" s="2"/>
      <c r="AA65" s="12"/>
      <c r="AB65" s="12"/>
      <c r="AC65" s="12"/>
      <c r="AD65" s="12"/>
      <c r="AE65" s="12"/>
    </row>
    <row r="66" spans="2:40" x14ac:dyDescent="0.2">
      <c r="F66" s="2"/>
      <c r="G66" s="2"/>
      <c r="H66" s="2"/>
      <c r="I66" s="2"/>
      <c r="J66" s="2"/>
      <c r="K66" s="2"/>
      <c r="L66" s="2"/>
      <c r="M66" s="2"/>
      <c r="N66" s="2"/>
      <c r="O66" s="2"/>
      <c r="P66" s="2"/>
      <c r="Q66" s="2"/>
      <c r="R66" s="2"/>
      <c r="S66" s="2"/>
      <c r="T66" s="2"/>
      <c r="U66" s="2"/>
      <c r="V66" s="2"/>
      <c r="W66" s="2"/>
      <c r="X66" s="2"/>
      <c r="Y66" s="2"/>
      <c r="AA66" s="12"/>
      <c r="AB66" s="12"/>
      <c r="AC66" s="12"/>
      <c r="AD66" s="12"/>
      <c r="AE66" s="12"/>
    </row>
    <row r="67" spans="2:40" x14ac:dyDescent="0.2">
      <c r="F67" s="2"/>
      <c r="G67" s="2"/>
      <c r="H67" s="2"/>
      <c r="I67" s="2"/>
      <c r="J67" s="2"/>
      <c r="K67" s="2"/>
      <c r="L67" s="2"/>
      <c r="M67" s="2"/>
      <c r="N67" s="2"/>
      <c r="O67" s="2"/>
      <c r="P67" s="2"/>
      <c r="Q67" s="2"/>
      <c r="R67" s="2"/>
      <c r="S67" s="2"/>
      <c r="T67" s="2"/>
      <c r="U67" s="2"/>
      <c r="V67" s="2"/>
      <c r="W67" s="2"/>
      <c r="X67" s="2"/>
      <c r="Y67" s="2"/>
      <c r="AA67" s="12"/>
      <c r="AB67" s="12"/>
      <c r="AC67" s="12"/>
      <c r="AD67" s="12"/>
      <c r="AE67" s="12"/>
    </row>
    <row r="68" spans="2:40" x14ac:dyDescent="0.2">
      <c r="F68" s="2"/>
      <c r="G68" s="2"/>
      <c r="H68" s="2"/>
      <c r="I68" s="2"/>
      <c r="J68" s="2"/>
      <c r="K68" s="2"/>
      <c r="L68" s="2"/>
      <c r="M68" s="2"/>
      <c r="N68" s="2"/>
      <c r="O68" s="2"/>
      <c r="P68" s="2"/>
      <c r="Q68" s="2"/>
      <c r="R68" s="2"/>
      <c r="S68" s="2"/>
      <c r="T68" s="2"/>
      <c r="U68" s="2"/>
      <c r="V68" s="2"/>
      <c r="W68" s="2"/>
      <c r="X68" s="2"/>
      <c r="Y68" s="2"/>
      <c r="AA68" s="12"/>
      <c r="AB68" s="12"/>
      <c r="AC68" s="12"/>
      <c r="AD68" s="12"/>
      <c r="AE68" s="12"/>
    </row>
    <row r="69" spans="2:40" x14ac:dyDescent="0.2">
      <c r="F69" s="2"/>
      <c r="G69" s="2"/>
      <c r="H69" s="2"/>
      <c r="I69" s="2"/>
      <c r="J69" s="2"/>
      <c r="K69" s="2"/>
      <c r="L69" s="2"/>
      <c r="M69" s="2"/>
      <c r="N69" s="2"/>
      <c r="O69" s="2"/>
      <c r="P69" s="2"/>
      <c r="Q69" s="2"/>
      <c r="R69" s="2"/>
      <c r="S69" s="2"/>
      <c r="T69" s="2"/>
      <c r="U69" s="2"/>
      <c r="V69" s="2"/>
      <c r="W69" s="2"/>
      <c r="X69" s="2"/>
      <c r="Y69" s="2"/>
      <c r="AA69" s="12"/>
      <c r="AB69" s="12"/>
      <c r="AC69" s="12"/>
      <c r="AD69" s="12"/>
      <c r="AE69" s="12"/>
    </row>
    <row r="70" spans="2:40" x14ac:dyDescent="0.2">
      <c r="F70" s="2"/>
      <c r="G70" s="2"/>
      <c r="H70" s="2"/>
      <c r="I70" s="2"/>
      <c r="J70" s="2"/>
      <c r="K70" s="2"/>
      <c r="L70" s="2"/>
      <c r="M70" s="2"/>
      <c r="N70" s="2"/>
      <c r="O70" s="2"/>
      <c r="P70" s="2"/>
      <c r="Q70" s="2"/>
      <c r="R70" s="2"/>
      <c r="S70" s="2"/>
      <c r="T70" s="2"/>
      <c r="U70" s="2"/>
      <c r="V70" s="2"/>
      <c r="W70" s="2"/>
      <c r="X70" s="2"/>
      <c r="Y70" s="2"/>
      <c r="AA70" s="12"/>
      <c r="AB70" s="12"/>
      <c r="AC70" s="12"/>
      <c r="AD70" s="12"/>
      <c r="AE70" s="12"/>
    </row>
    <row r="71" spans="2:40" x14ac:dyDescent="0.2">
      <c r="F71" s="2"/>
      <c r="G71" s="2"/>
      <c r="H71" s="2"/>
      <c r="I71" s="2"/>
      <c r="J71" s="2"/>
      <c r="K71" s="2"/>
      <c r="L71" s="2"/>
      <c r="M71" s="2"/>
      <c r="N71" s="2"/>
      <c r="O71" s="2"/>
      <c r="P71" s="2"/>
      <c r="Q71" s="2"/>
      <c r="R71" s="2"/>
      <c r="S71" s="2"/>
      <c r="T71" s="2"/>
      <c r="U71" s="2"/>
      <c r="V71" s="2"/>
      <c r="W71" s="2"/>
      <c r="X71" s="2"/>
      <c r="Y71" s="2"/>
      <c r="AA71" s="12"/>
      <c r="AB71" s="12"/>
      <c r="AC71" s="12"/>
      <c r="AD71" s="12"/>
      <c r="AE71" s="12"/>
    </row>
    <row r="72" spans="2:40" x14ac:dyDescent="0.2">
      <c r="F72" s="2"/>
      <c r="G72" s="2"/>
      <c r="H72" s="2"/>
      <c r="I72" s="2"/>
      <c r="J72" s="2"/>
      <c r="K72" s="2"/>
      <c r="L72" s="2"/>
      <c r="M72" s="2"/>
      <c r="N72" s="2"/>
      <c r="O72" s="2"/>
      <c r="P72" s="2"/>
      <c r="Q72" s="2"/>
      <c r="R72" s="2"/>
      <c r="S72" s="2"/>
      <c r="T72" s="2"/>
      <c r="U72" s="2"/>
      <c r="V72" s="2"/>
      <c r="W72" s="2"/>
      <c r="X72" s="2"/>
      <c r="Y72" s="2"/>
      <c r="AA72" s="12"/>
      <c r="AB72" s="12"/>
      <c r="AC72" s="12"/>
      <c r="AD72" s="12"/>
      <c r="AE72" s="12"/>
    </row>
    <row r="73" spans="2:40" x14ac:dyDescent="0.2">
      <c r="F73" s="2"/>
      <c r="G73" s="2"/>
      <c r="H73" s="2"/>
      <c r="I73" s="2"/>
      <c r="J73" s="2"/>
      <c r="K73" s="2"/>
      <c r="L73" s="2"/>
      <c r="M73" s="2"/>
      <c r="N73" s="2"/>
      <c r="O73" s="2"/>
      <c r="P73" s="2"/>
      <c r="Q73" s="2"/>
      <c r="R73" s="2"/>
      <c r="S73" s="2"/>
      <c r="T73" s="2"/>
      <c r="U73" s="2"/>
      <c r="V73" s="2"/>
      <c r="W73" s="2"/>
      <c r="X73" s="2"/>
      <c r="Y73" s="2"/>
      <c r="AA73" s="12"/>
      <c r="AB73" s="12"/>
      <c r="AC73" s="12"/>
      <c r="AD73" s="12"/>
      <c r="AE73" s="12"/>
    </row>
    <row r="74" spans="2:40" x14ac:dyDescent="0.2">
      <c r="F74" s="2"/>
      <c r="G74" s="2"/>
      <c r="H74" s="2"/>
      <c r="I74" s="2"/>
      <c r="J74" s="2"/>
      <c r="K74" s="2"/>
      <c r="L74" s="2"/>
      <c r="M74" s="2"/>
      <c r="N74" s="2"/>
      <c r="O74" s="2"/>
      <c r="P74" s="2"/>
      <c r="Q74" s="2"/>
      <c r="R74" s="2"/>
      <c r="S74" s="2"/>
      <c r="T74" s="2"/>
      <c r="U74" s="2"/>
      <c r="V74" s="2"/>
      <c r="W74" s="2"/>
      <c r="X74" s="2"/>
      <c r="Y74" s="2"/>
      <c r="AA74" s="12"/>
      <c r="AB74" s="12"/>
      <c r="AC74" s="12"/>
      <c r="AD74" s="12"/>
      <c r="AE74" s="12"/>
    </row>
    <row r="75" spans="2:40" x14ac:dyDescent="0.2">
      <c r="F75" s="2"/>
      <c r="G75" s="2"/>
      <c r="H75" s="2"/>
      <c r="I75" s="2"/>
      <c r="J75" s="2"/>
      <c r="K75" s="2"/>
      <c r="L75" s="2"/>
      <c r="M75" s="2"/>
      <c r="N75" s="2"/>
      <c r="O75" s="2"/>
      <c r="P75" s="2"/>
      <c r="Q75" s="2"/>
      <c r="R75" s="2"/>
      <c r="S75" s="2"/>
      <c r="T75" s="2"/>
      <c r="U75" s="2"/>
      <c r="V75" s="2"/>
      <c r="W75" s="2"/>
      <c r="X75" s="2"/>
      <c r="Y75" s="2"/>
      <c r="AA75" s="12"/>
      <c r="AB75" s="12"/>
      <c r="AC75" s="12"/>
      <c r="AD75" s="12"/>
      <c r="AE75" s="12"/>
    </row>
    <row r="76" spans="2:40" x14ac:dyDescent="0.2">
      <c r="F76" s="2"/>
      <c r="G76" s="2"/>
      <c r="H76" s="2"/>
      <c r="I76" s="2"/>
      <c r="J76" s="2"/>
      <c r="K76" s="2"/>
      <c r="L76" s="2"/>
      <c r="M76" s="2"/>
      <c r="N76" s="2"/>
      <c r="O76" s="2"/>
      <c r="P76" s="2"/>
      <c r="Q76" s="2"/>
      <c r="R76" s="2"/>
      <c r="S76" s="2"/>
      <c r="T76" s="2"/>
      <c r="U76" s="2"/>
      <c r="V76" s="2"/>
      <c r="W76" s="2"/>
      <c r="X76" s="2"/>
      <c r="Y76" s="2"/>
      <c r="AA76" s="12"/>
      <c r="AB76" s="12"/>
      <c r="AC76" s="12"/>
      <c r="AD76" s="12"/>
      <c r="AE76" s="12"/>
    </row>
    <row r="77" spans="2:40" x14ac:dyDescent="0.2">
      <c r="F77" s="2"/>
      <c r="G77" s="2"/>
      <c r="H77" s="2"/>
      <c r="I77" s="2"/>
      <c r="J77" s="2"/>
      <c r="K77" s="2"/>
      <c r="L77" s="2"/>
      <c r="M77" s="2"/>
      <c r="N77" s="2"/>
      <c r="O77" s="2"/>
      <c r="P77" s="2"/>
      <c r="Q77" s="2"/>
      <c r="R77" s="2"/>
      <c r="S77" s="2"/>
      <c r="T77" s="2"/>
      <c r="U77" s="2"/>
      <c r="V77" s="2"/>
      <c r="W77" s="2"/>
      <c r="X77" s="2"/>
      <c r="Y77" s="2"/>
      <c r="AA77" s="12"/>
      <c r="AB77" s="12"/>
      <c r="AC77" s="12"/>
      <c r="AD77" s="12"/>
      <c r="AE77" s="12"/>
    </row>
    <row r="78" spans="2:40" x14ac:dyDescent="0.2">
      <c r="D78" s="2"/>
      <c r="E78" s="2"/>
      <c r="F78" s="2"/>
      <c r="G78" s="2"/>
      <c r="H78" s="2"/>
      <c r="I78" s="2"/>
      <c r="J78" s="2"/>
      <c r="K78" s="2"/>
      <c r="L78" s="2"/>
      <c r="M78" s="2"/>
      <c r="N78" s="2"/>
      <c r="O78" s="2"/>
      <c r="P78" s="2"/>
      <c r="Q78" s="2"/>
      <c r="R78" s="2"/>
      <c r="S78" s="2"/>
      <c r="T78" s="2"/>
      <c r="U78" s="2"/>
      <c r="V78" s="2"/>
      <c r="W78" s="2"/>
      <c r="X78" s="2"/>
      <c r="Y78" s="2"/>
      <c r="AA78" s="12"/>
      <c r="AB78" s="12"/>
      <c r="AC78" s="12"/>
      <c r="AD78" s="12"/>
      <c r="AE78" s="12"/>
    </row>
    <row r="79" spans="2:40" ht="16" x14ac:dyDescent="0.2">
      <c r="B79" s="315" t="s">
        <v>115</v>
      </c>
      <c r="C79" s="315"/>
      <c r="D79" s="315"/>
      <c r="E79" s="315"/>
      <c r="F79" s="315"/>
      <c r="G79" s="315"/>
      <c r="H79" s="315"/>
      <c r="I79" s="315"/>
      <c r="J79" s="315"/>
      <c r="K79" s="315"/>
      <c r="L79" s="315"/>
      <c r="M79" s="315"/>
      <c r="N79" s="315"/>
      <c r="O79" s="315"/>
      <c r="P79" s="315"/>
      <c r="Q79" s="315"/>
      <c r="R79" s="315"/>
      <c r="S79" s="315"/>
      <c r="T79" s="315"/>
      <c r="U79" s="315"/>
      <c r="V79" s="315"/>
      <c r="W79" s="315"/>
      <c r="X79" s="315"/>
      <c r="Y79" s="315"/>
      <c r="Z79" s="315"/>
      <c r="AA79" s="315"/>
      <c r="AB79" s="315"/>
      <c r="AC79" s="315"/>
      <c r="AD79" s="315"/>
      <c r="AE79" s="315"/>
      <c r="AF79" s="315"/>
      <c r="AG79" s="315"/>
      <c r="AH79" s="315"/>
      <c r="AI79" s="315"/>
      <c r="AJ79" s="315"/>
      <c r="AK79" s="315"/>
      <c r="AL79" s="315"/>
      <c r="AM79" s="315"/>
      <c r="AN79" s="315"/>
    </row>
    <row r="80" spans="2:40" x14ac:dyDescent="0.2">
      <c r="C80" s="281">
        <f ca="1">$Y$143</f>
        <v>8045.2834762260964</v>
      </c>
      <c r="D80" s="282">
        <f ca="1">$AE$143</f>
        <v>0.22745189073419914</v>
      </c>
      <c r="E80" s="283">
        <f ca="1">$Y$21</f>
        <v>4540.2760794479354</v>
      </c>
    </row>
    <row r="81" spans="2:5" x14ac:dyDescent="0.2">
      <c r="B81" t="s">
        <v>3</v>
      </c>
      <c r="C81" s="281">
        <f t="dataTable" ref="C81:E85" dt2D="0" dtr="0" r1="T1" ca="1"/>
        <v>1142.2574001555054</v>
      </c>
      <c r="D81" s="282">
        <v>0.11987556407034994</v>
      </c>
      <c r="E81" s="283">
        <v>0</v>
      </c>
    </row>
    <row r="82" spans="2:5" x14ac:dyDescent="0.2">
      <c r="B82" t="s">
        <v>4</v>
      </c>
      <c r="C82" s="281">
        <v>2519.9582578507757</v>
      </c>
      <c r="D82" s="282">
        <v>0.16269331395918307</v>
      </c>
      <c r="E82" s="283">
        <v>569.35049227900379</v>
      </c>
    </row>
    <row r="83" spans="2:5" x14ac:dyDescent="0.2">
      <c r="B83" t="s">
        <v>5</v>
      </c>
      <c r="C83" s="281">
        <v>8045.2834762260964</v>
      </c>
      <c r="D83" s="282">
        <v>0.22745189073419914</v>
      </c>
      <c r="E83" s="283">
        <v>4540.2760794479354</v>
      </c>
    </row>
    <row r="84" spans="2:5" x14ac:dyDescent="0.2">
      <c r="B84" t="s">
        <v>6</v>
      </c>
      <c r="C84" s="281">
        <v>17375.945497891233</v>
      </c>
      <c r="D84" s="282">
        <v>0.27290897913129153</v>
      </c>
      <c r="E84" s="283">
        <v>25643.337124748647</v>
      </c>
    </row>
    <row r="85" spans="2:5" x14ac:dyDescent="0.2">
      <c r="B85" t="s">
        <v>7</v>
      </c>
      <c r="C85" s="281">
        <v>27873.795282343151</v>
      </c>
      <c r="D85" s="282">
        <v>0.30188027844952803</v>
      </c>
      <c r="E85" s="283">
        <v>39475.63305839926</v>
      </c>
    </row>
    <row r="101" spans="2:34" ht="16" hidden="1" outlineLevel="1" x14ac:dyDescent="0.2">
      <c r="B101" s="315" t="s">
        <v>73</v>
      </c>
      <c r="C101" s="315"/>
      <c r="D101" s="315"/>
      <c r="E101" s="315"/>
      <c r="F101" s="315"/>
      <c r="G101" s="315"/>
      <c r="H101" s="315"/>
      <c r="I101" s="315"/>
      <c r="J101" s="315"/>
      <c r="K101" s="315"/>
      <c r="L101" s="315"/>
      <c r="M101" s="315"/>
      <c r="N101" s="315"/>
      <c r="O101" s="315"/>
      <c r="P101" s="315"/>
      <c r="Q101" s="315"/>
      <c r="R101" s="315"/>
      <c r="S101" s="315"/>
      <c r="T101" s="315"/>
      <c r="U101" s="315"/>
      <c r="V101" s="315"/>
      <c r="W101" s="315"/>
      <c r="X101" s="315"/>
      <c r="Y101" s="315"/>
      <c r="Z101" s="315"/>
      <c r="AA101" s="315"/>
      <c r="AB101" s="315"/>
      <c r="AC101" s="315"/>
      <c r="AD101" s="315"/>
      <c r="AE101" s="315"/>
      <c r="AF101" s="315"/>
      <c r="AG101" s="315"/>
      <c r="AH101" s="315"/>
    </row>
    <row r="102" spans="2:34" hidden="1" outlineLevel="1" x14ac:dyDescent="0.2">
      <c r="B102" t="s">
        <v>161</v>
      </c>
      <c r="D102" s="2">
        <f>D4</f>
        <v>100</v>
      </c>
      <c r="E102" s="2">
        <f t="shared" ref="E102:Y102" si="32">D102*(1+$D$5)</f>
        <v>105</v>
      </c>
      <c r="F102" s="2">
        <f t="shared" si="32"/>
        <v>110.25</v>
      </c>
      <c r="G102" s="2">
        <f t="shared" si="32"/>
        <v>115.7625</v>
      </c>
      <c r="H102" s="2">
        <f t="shared" si="32"/>
        <v>121.55062500000001</v>
      </c>
      <c r="I102" s="2">
        <f t="shared" si="32"/>
        <v>127.62815625000002</v>
      </c>
      <c r="J102" s="2">
        <f t="shared" si="32"/>
        <v>134.00956406250003</v>
      </c>
      <c r="K102" s="2">
        <f t="shared" si="32"/>
        <v>140.71004226562505</v>
      </c>
      <c r="L102" s="2">
        <f t="shared" si="32"/>
        <v>147.74554437890632</v>
      </c>
      <c r="M102" s="2">
        <f t="shared" si="32"/>
        <v>155.13282159785163</v>
      </c>
      <c r="N102" s="2">
        <f t="shared" si="32"/>
        <v>162.88946267774421</v>
      </c>
      <c r="O102" s="2">
        <f t="shared" si="32"/>
        <v>171.03393581163144</v>
      </c>
      <c r="P102" s="2">
        <f t="shared" si="32"/>
        <v>179.58563260221302</v>
      </c>
      <c r="Q102" s="2">
        <f t="shared" si="32"/>
        <v>188.56491423232367</v>
      </c>
      <c r="R102" s="2">
        <f t="shared" si="32"/>
        <v>197.99315994393987</v>
      </c>
      <c r="S102" s="2">
        <f t="shared" si="32"/>
        <v>207.89281794113688</v>
      </c>
      <c r="T102" s="2">
        <f t="shared" si="32"/>
        <v>218.28745883819374</v>
      </c>
      <c r="U102" s="2">
        <f t="shared" si="32"/>
        <v>229.20183178010345</v>
      </c>
      <c r="V102" s="2">
        <f t="shared" si="32"/>
        <v>240.66192336910862</v>
      </c>
      <c r="W102" s="2">
        <f t="shared" si="32"/>
        <v>252.69501953756406</v>
      </c>
      <c r="X102" s="2">
        <f t="shared" si="32"/>
        <v>265.32977051444226</v>
      </c>
      <c r="Y102" s="2">
        <f t="shared" si="32"/>
        <v>278.5962590401644</v>
      </c>
      <c r="Z102" s="11"/>
      <c r="AA102" s="12">
        <f t="shared" ref="AA102:AA107" si="33">IFERROR((E102/D102)-1,"")</f>
        <v>5.0000000000000044E-2</v>
      </c>
      <c r="AB102" s="12">
        <f t="shared" ref="AB102:AB107" si="34">IFERROR((J102/D102)^(1/6)-1,"")</f>
        <v>5.0000000000000044E-2</v>
      </c>
      <c r="AC102" s="12">
        <f t="shared" ref="AC102:AC107" si="35">IFERROR((O102/D102)^(1/11)-1,"")</f>
        <v>5.0000000000000044E-2</v>
      </c>
      <c r="AD102" s="12">
        <f t="shared" ref="AD102:AD107" si="36">IFERROR((T102/D102)^(1/16)-1,"")</f>
        <v>5.0000000000000044E-2</v>
      </c>
      <c r="AE102" s="12">
        <f t="shared" ref="AE102:AE107" si="37">IFERROR((Y102/D102)^(1/21)-1,"")</f>
        <v>5.0000000000000044E-2</v>
      </c>
      <c r="AF102" s="10"/>
      <c r="AG102" s="10"/>
      <c r="AH102" s="10"/>
    </row>
    <row r="103" spans="2:34" hidden="1" outlineLevel="1" x14ac:dyDescent="0.2">
      <c r="B103" s="48" t="s">
        <v>162</v>
      </c>
      <c r="C103" s="48"/>
      <c r="D103" s="2">
        <f t="shared" ref="D103:Y103" ca="1" si="38">IFERROR(AVERAGE(D114,D115)*$AE$5,0)</f>
        <v>0.36</v>
      </c>
      <c r="E103" s="2">
        <f t="shared" ca="1" si="38"/>
        <v>0.12</v>
      </c>
      <c r="F103" s="2">
        <f t="shared" ca="1" si="38"/>
        <v>0.12</v>
      </c>
      <c r="G103" s="2">
        <f t="shared" ca="1" si="38"/>
        <v>0.12</v>
      </c>
      <c r="H103" s="2">
        <f t="shared" ca="1" si="38"/>
        <v>0.12</v>
      </c>
      <c r="I103" s="2">
        <f t="shared" ca="1" si="38"/>
        <v>0.12</v>
      </c>
      <c r="J103" s="2">
        <f t="shared" ca="1" si="38"/>
        <v>0.12</v>
      </c>
      <c r="K103" s="2">
        <f t="shared" ca="1" si="38"/>
        <v>0.12</v>
      </c>
      <c r="L103" s="2">
        <f t="shared" ca="1" si="38"/>
        <v>0.12</v>
      </c>
      <c r="M103" s="2">
        <f t="shared" ca="1" si="38"/>
        <v>0.12</v>
      </c>
      <c r="N103" s="2">
        <f t="shared" ca="1" si="38"/>
        <v>0.12</v>
      </c>
      <c r="O103" s="2">
        <f t="shared" ca="1" si="38"/>
        <v>0.12</v>
      </c>
      <c r="P103" s="2">
        <f t="shared" ca="1" si="38"/>
        <v>0.12</v>
      </c>
      <c r="Q103" s="2">
        <f t="shared" ca="1" si="38"/>
        <v>0.12</v>
      </c>
      <c r="R103" s="2">
        <f t="shared" ca="1" si="38"/>
        <v>0.12</v>
      </c>
      <c r="S103" s="2">
        <f t="shared" ca="1" si="38"/>
        <v>0.12</v>
      </c>
      <c r="T103" s="2">
        <f t="shared" ca="1" si="38"/>
        <v>0.12</v>
      </c>
      <c r="U103" s="2">
        <f t="shared" ca="1" si="38"/>
        <v>0.12</v>
      </c>
      <c r="V103" s="2">
        <f t="shared" ca="1" si="38"/>
        <v>0.12</v>
      </c>
      <c r="W103" s="2">
        <f t="shared" ca="1" si="38"/>
        <v>0.12</v>
      </c>
      <c r="X103" s="2">
        <f t="shared" ca="1" si="38"/>
        <v>0.12</v>
      </c>
      <c r="Y103" s="2">
        <f t="shared" ca="1" si="38"/>
        <v>0.12</v>
      </c>
      <c r="AA103" s="12">
        <f t="shared" ca="1" si="33"/>
        <v>-0.66666666666666674</v>
      </c>
      <c r="AB103" s="12">
        <f t="shared" ca="1" si="34"/>
        <v>-0.16731682234439571</v>
      </c>
      <c r="AC103" s="12">
        <f t="shared" ca="1" si="35"/>
        <v>-9.5048424478069493E-2</v>
      </c>
      <c r="AD103" s="12">
        <f t="shared" ca="1" si="36"/>
        <v>-6.6358986080980009E-2</v>
      </c>
      <c r="AE103" s="12">
        <f t="shared" ca="1" si="37"/>
        <v>-5.0970002126288105E-2</v>
      </c>
      <c r="AF103" s="10"/>
      <c r="AG103" s="10"/>
      <c r="AH103" s="10"/>
    </row>
    <row r="104" spans="2:34" hidden="1" outlineLevel="1" x14ac:dyDescent="0.2">
      <c r="B104" s="48" t="s">
        <v>163</v>
      </c>
      <c r="C104" s="48"/>
      <c r="D104" s="2">
        <f t="shared" ref="D104:Y104" ca="1" si="39">IFERROR(MAX($V$15*D117-D119,0),0)</f>
        <v>0</v>
      </c>
      <c r="E104" s="2">
        <f t="shared" ca="1" si="39"/>
        <v>0</v>
      </c>
      <c r="F104" s="2">
        <f t="shared" ca="1" si="39"/>
        <v>0</v>
      </c>
      <c r="G104" s="2">
        <f t="shared" ca="1" si="39"/>
        <v>0</v>
      </c>
      <c r="H104" s="2">
        <f t="shared" ca="1" si="39"/>
        <v>0</v>
      </c>
      <c r="I104" s="2">
        <f t="shared" ca="1" si="39"/>
        <v>0</v>
      </c>
      <c r="J104" s="2">
        <f t="shared" ca="1" si="39"/>
        <v>0</v>
      </c>
      <c r="K104" s="2">
        <f t="shared" ca="1" si="39"/>
        <v>0</v>
      </c>
      <c r="L104" s="2">
        <f t="shared" ca="1" si="39"/>
        <v>0</v>
      </c>
      <c r="M104" s="2">
        <f t="shared" ca="1" si="39"/>
        <v>0</v>
      </c>
      <c r="N104" s="2">
        <f t="shared" ca="1" si="39"/>
        <v>0</v>
      </c>
      <c r="O104" s="2">
        <f t="shared" ca="1" si="39"/>
        <v>0</v>
      </c>
      <c r="P104" s="2">
        <f t="shared" ca="1" si="39"/>
        <v>0</v>
      </c>
      <c r="Q104" s="2">
        <f t="shared" ca="1" si="39"/>
        <v>0</v>
      </c>
      <c r="R104" s="2">
        <f t="shared" ca="1" si="39"/>
        <v>0</v>
      </c>
      <c r="S104" s="2">
        <f t="shared" ca="1" si="39"/>
        <v>0</v>
      </c>
      <c r="T104" s="2">
        <f t="shared" ca="1" si="39"/>
        <v>0</v>
      </c>
      <c r="U104" s="2">
        <f t="shared" ca="1" si="39"/>
        <v>0</v>
      </c>
      <c r="V104" s="2">
        <f t="shared" ca="1" si="39"/>
        <v>0</v>
      </c>
      <c r="W104" s="2">
        <f t="shared" ca="1" si="39"/>
        <v>0</v>
      </c>
      <c r="X104" s="2">
        <f t="shared" ca="1" si="39"/>
        <v>0</v>
      </c>
      <c r="Y104" s="2">
        <f t="shared" ca="1" si="39"/>
        <v>0</v>
      </c>
      <c r="AA104" s="12" t="str">
        <f t="shared" ca="1" si="33"/>
        <v/>
      </c>
      <c r="AB104" s="12" t="str">
        <f t="shared" ca="1" si="34"/>
        <v/>
      </c>
      <c r="AC104" s="12" t="str">
        <f t="shared" ca="1" si="35"/>
        <v/>
      </c>
      <c r="AD104" s="12" t="str">
        <f t="shared" ca="1" si="36"/>
        <v/>
      </c>
      <c r="AE104" s="12" t="str">
        <f t="shared" ca="1" si="37"/>
        <v/>
      </c>
      <c r="AG104" s="12"/>
      <c r="AH104" s="12"/>
    </row>
    <row r="105" spans="2:34" hidden="1" outlineLevel="1" x14ac:dyDescent="0.2">
      <c r="B105" s="48" t="s">
        <v>164</v>
      </c>
      <c r="C105" s="48"/>
      <c r="D105" s="2">
        <f t="shared" ref="D105:Y105" ca="1" si="40">-IFERROR(AVERAGE(D119,D120)*$O$6,0)</f>
        <v>-20</v>
      </c>
      <c r="E105" s="2">
        <f t="shared" ca="1" si="40"/>
        <v>-20</v>
      </c>
      <c r="F105" s="2">
        <f t="shared" ca="1" si="40"/>
        <v>-20</v>
      </c>
      <c r="G105" s="2">
        <f t="shared" ca="1" si="40"/>
        <v>-20</v>
      </c>
      <c r="H105" s="2">
        <f t="shared" ca="1" si="40"/>
        <v>-20</v>
      </c>
      <c r="I105" s="2">
        <f t="shared" ca="1" si="40"/>
        <v>-20</v>
      </c>
      <c r="J105" s="2">
        <f t="shared" ca="1" si="40"/>
        <v>-20</v>
      </c>
      <c r="K105" s="2">
        <f t="shared" ca="1" si="40"/>
        <v>-20</v>
      </c>
      <c r="L105" s="2">
        <f t="shared" ca="1" si="40"/>
        <v>-20</v>
      </c>
      <c r="M105" s="2">
        <f t="shared" ca="1" si="40"/>
        <v>-20</v>
      </c>
      <c r="N105" s="2">
        <f t="shared" ca="1" si="40"/>
        <v>-20</v>
      </c>
      <c r="O105" s="2">
        <f t="shared" ca="1" si="40"/>
        <v>-20</v>
      </c>
      <c r="P105" s="2">
        <f t="shared" ca="1" si="40"/>
        <v>-20</v>
      </c>
      <c r="Q105" s="2">
        <f t="shared" ca="1" si="40"/>
        <v>-20</v>
      </c>
      <c r="R105" s="2">
        <f t="shared" ca="1" si="40"/>
        <v>-20</v>
      </c>
      <c r="S105" s="2">
        <f t="shared" ca="1" si="40"/>
        <v>-20</v>
      </c>
      <c r="T105" s="2">
        <f t="shared" ca="1" si="40"/>
        <v>-20</v>
      </c>
      <c r="U105" s="2">
        <f t="shared" ca="1" si="40"/>
        <v>-20</v>
      </c>
      <c r="V105" s="2">
        <f t="shared" ca="1" si="40"/>
        <v>-20</v>
      </c>
      <c r="W105" s="2">
        <f t="shared" ca="1" si="40"/>
        <v>-20</v>
      </c>
      <c r="X105" s="2">
        <f t="shared" ca="1" si="40"/>
        <v>-20</v>
      </c>
      <c r="Y105" s="2">
        <f t="shared" ca="1" si="40"/>
        <v>-20</v>
      </c>
      <c r="AA105" s="12">
        <f t="shared" ca="1" si="33"/>
        <v>0</v>
      </c>
      <c r="AB105" s="12">
        <f t="shared" ca="1" si="34"/>
        <v>0</v>
      </c>
      <c r="AC105" s="12">
        <f t="shared" ca="1" si="35"/>
        <v>0</v>
      </c>
      <c r="AD105" s="12">
        <f t="shared" ca="1" si="36"/>
        <v>0</v>
      </c>
      <c r="AE105" s="12">
        <f t="shared" ca="1" si="37"/>
        <v>0</v>
      </c>
      <c r="AG105" s="12"/>
      <c r="AH105" s="12"/>
    </row>
    <row r="106" spans="2:34" hidden="1" outlineLevel="1" x14ac:dyDescent="0.2">
      <c r="B106" s="51" t="s">
        <v>165</v>
      </c>
      <c r="C106" s="51"/>
      <c r="D106" s="24">
        <f ca="1">SUM(D102:D105)</f>
        <v>80.36</v>
      </c>
      <c r="E106" s="24">
        <f t="shared" ref="E106:Y106" ca="1" si="41">SUM(E102:E105)</f>
        <v>85.12</v>
      </c>
      <c r="F106" s="24">
        <f t="shared" ca="1" si="41"/>
        <v>90.37</v>
      </c>
      <c r="G106" s="24">
        <f t="shared" ca="1" si="41"/>
        <v>95.882500000000007</v>
      </c>
      <c r="H106" s="24">
        <f t="shared" ca="1" si="41"/>
        <v>101.67062500000002</v>
      </c>
      <c r="I106" s="24">
        <f t="shared" ca="1" si="41"/>
        <v>107.74815625000002</v>
      </c>
      <c r="J106" s="24">
        <f t="shared" ca="1" si="41"/>
        <v>114.12956406250004</v>
      </c>
      <c r="K106" s="24">
        <f t="shared" ca="1" si="41"/>
        <v>120.83004226562505</v>
      </c>
      <c r="L106" s="24">
        <f t="shared" ca="1" si="41"/>
        <v>127.86554437890632</v>
      </c>
      <c r="M106" s="24">
        <f t="shared" ca="1" si="41"/>
        <v>135.25282159785164</v>
      </c>
      <c r="N106" s="24">
        <f t="shared" ca="1" si="41"/>
        <v>143.00946267774421</v>
      </c>
      <c r="O106" s="24">
        <f t="shared" ca="1" si="41"/>
        <v>151.15393581163144</v>
      </c>
      <c r="P106" s="24">
        <f t="shared" ca="1" si="41"/>
        <v>159.70563260221303</v>
      </c>
      <c r="Q106" s="24">
        <f t="shared" ca="1" si="41"/>
        <v>168.68491423232368</v>
      </c>
      <c r="R106" s="24">
        <f t="shared" ca="1" si="41"/>
        <v>178.11315994393988</v>
      </c>
      <c r="S106" s="24">
        <f t="shared" ca="1" si="41"/>
        <v>188.01281794113689</v>
      </c>
      <c r="T106" s="24">
        <f t="shared" ca="1" si="41"/>
        <v>198.40745883819375</v>
      </c>
      <c r="U106" s="24">
        <f t="shared" ca="1" si="41"/>
        <v>209.32183178010345</v>
      </c>
      <c r="V106" s="24">
        <f t="shared" ca="1" si="41"/>
        <v>220.78192336910863</v>
      </c>
      <c r="W106" s="24">
        <f t="shared" ca="1" si="41"/>
        <v>232.81501953756407</v>
      </c>
      <c r="X106" s="24">
        <f t="shared" ca="1" si="41"/>
        <v>245.44977051444226</v>
      </c>
      <c r="Y106" s="24">
        <f t="shared" ca="1" si="41"/>
        <v>258.7162590401644</v>
      </c>
      <c r="Z106" s="3"/>
      <c r="AA106" s="14">
        <f t="shared" ca="1" si="33"/>
        <v>5.9233449477351874E-2</v>
      </c>
      <c r="AB106" s="14">
        <f t="shared" ca="1" si="34"/>
        <v>6.0212788302234088E-2</v>
      </c>
      <c r="AC106" s="14">
        <f t="shared" ca="1" si="35"/>
        <v>5.9116158186934165E-2</v>
      </c>
      <c r="AD106" s="14">
        <f t="shared" ca="1" si="36"/>
        <v>5.8113801569481316E-2</v>
      </c>
      <c r="AE106" s="14">
        <f t="shared" ca="1" si="37"/>
        <v>5.7256054108014043E-2</v>
      </c>
      <c r="AG106" s="12"/>
      <c r="AH106" s="12"/>
    </row>
    <row r="107" spans="2:34" hidden="1" outlineLevel="1" x14ac:dyDescent="0.2">
      <c r="B107" s="48" t="s">
        <v>166</v>
      </c>
      <c r="C107" s="48"/>
      <c r="D107" s="2">
        <f t="shared" ref="D107:Y107" ca="1" si="42">IFERROR(D108*D134/10^6,0)</f>
        <v>0</v>
      </c>
      <c r="E107" s="2">
        <f t="shared" ca="1" si="42"/>
        <v>0</v>
      </c>
      <c r="F107" s="2">
        <f t="shared" ca="1" si="42"/>
        <v>0</v>
      </c>
      <c r="G107" s="2">
        <f t="shared" ca="1" si="42"/>
        <v>0</v>
      </c>
      <c r="H107" s="2">
        <f t="shared" ca="1" si="42"/>
        <v>0</v>
      </c>
      <c r="I107" s="2">
        <f t="shared" ca="1" si="42"/>
        <v>0</v>
      </c>
      <c r="J107" s="2">
        <f t="shared" ca="1" si="42"/>
        <v>0</v>
      </c>
      <c r="K107" s="2">
        <f t="shared" ca="1" si="42"/>
        <v>0</v>
      </c>
      <c r="L107" s="2">
        <f t="shared" ca="1" si="42"/>
        <v>0</v>
      </c>
      <c r="M107" s="2">
        <f t="shared" ca="1" si="42"/>
        <v>0</v>
      </c>
      <c r="N107" s="2">
        <f t="shared" ca="1" si="42"/>
        <v>0</v>
      </c>
      <c r="O107" s="2">
        <f t="shared" ca="1" si="42"/>
        <v>0</v>
      </c>
      <c r="P107" s="2">
        <f t="shared" ca="1" si="42"/>
        <v>0</v>
      </c>
      <c r="Q107" s="2">
        <f t="shared" ca="1" si="42"/>
        <v>0</v>
      </c>
      <c r="R107" s="2">
        <f t="shared" ca="1" si="42"/>
        <v>0</v>
      </c>
      <c r="S107" s="2">
        <f t="shared" ca="1" si="42"/>
        <v>0</v>
      </c>
      <c r="T107" s="2">
        <f t="shared" ca="1" si="42"/>
        <v>0</v>
      </c>
      <c r="U107" s="2">
        <f t="shared" ca="1" si="42"/>
        <v>0</v>
      </c>
      <c r="V107" s="2">
        <f t="shared" ca="1" si="42"/>
        <v>0</v>
      </c>
      <c r="W107" s="2">
        <f t="shared" ca="1" si="42"/>
        <v>0</v>
      </c>
      <c r="X107" s="2">
        <f t="shared" ca="1" si="42"/>
        <v>0</v>
      </c>
      <c r="Y107" s="2">
        <f t="shared" ca="1" si="42"/>
        <v>0</v>
      </c>
      <c r="AA107" s="12" t="str">
        <f t="shared" ca="1" si="33"/>
        <v/>
      </c>
      <c r="AB107" s="12" t="str">
        <f t="shared" ca="1" si="34"/>
        <v/>
      </c>
      <c r="AC107" s="12" t="str">
        <f t="shared" ca="1" si="35"/>
        <v/>
      </c>
      <c r="AD107" s="12" t="str">
        <f t="shared" ca="1" si="36"/>
        <v/>
      </c>
      <c r="AE107" s="12" t="str">
        <f t="shared" ca="1" si="37"/>
        <v/>
      </c>
      <c r="AG107" s="12"/>
      <c r="AH107" s="12"/>
    </row>
    <row r="108" spans="2:34" hidden="1" outlineLevel="1" x14ac:dyDescent="0.2">
      <c r="B108" s="56" t="s">
        <v>167</v>
      </c>
      <c r="C108" s="56"/>
      <c r="D108" s="55">
        <f t="shared" ref="D108:Y108" si="43">D132*$V$13</f>
        <v>0</v>
      </c>
      <c r="E108" s="55">
        <f t="shared" si="43"/>
        <v>0</v>
      </c>
      <c r="F108" s="55">
        <f t="shared" si="43"/>
        <v>0</v>
      </c>
      <c r="G108" s="55">
        <f t="shared" si="43"/>
        <v>0</v>
      </c>
      <c r="H108" s="55">
        <f t="shared" si="43"/>
        <v>0</v>
      </c>
      <c r="I108" s="55">
        <f t="shared" si="43"/>
        <v>0</v>
      </c>
      <c r="J108" s="55">
        <f t="shared" si="43"/>
        <v>0</v>
      </c>
      <c r="K108" s="55">
        <f t="shared" si="43"/>
        <v>0</v>
      </c>
      <c r="L108" s="55">
        <f t="shared" si="43"/>
        <v>0</v>
      </c>
      <c r="M108" s="55">
        <f t="shared" si="43"/>
        <v>0</v>
      </c>
      <c r="N108" s="55">
        <f t="shared" si="43"/>
        <v>0</v>
      </c>
      <c r="O108" s="55">
        <f t="shared" si="43"/>
        <v>0</v>
      </c>
      <c r="P108" s="55">
        <f t="shared" si="43"/>
        <v>0</v>
      </c>
      <c r="Q108" s="55">
        <f t="shared" si="43"/>
        <v>0</v>
      </c>
      <c r="R108" s="55">
        <f t="shared" si="43"/>
        <v>0</v>
      </c>
      <c r="S108" s="55">
        <f t="shared" si="43"/>
        <v>0</v>
      </c>
      <c r="T108" s="55">
        <f t="shared" si="43"/>
        <v>0</v>
      </c>
      <c r="U108" s="55">
        <f t="shared" si="43"/>
        <v>0</v>
      </c>
      <c r="V108" s="55">
        <f t="shared" si="43"/>
        <v>0</v>
      </c>
      <c r="W108" s="55">
        <f t="shared" si="43"/>
        <v>0</v>
      </c>
      <c r="X108" s="55">
        <f t="shared" si="43"/>
        <v>0</v>
      </c>
      <c r="Y108" s="55">
        <f t="shared" si="43"/>
        <v>0</v>
      </c>
      <c r="AA108" s="12"/>
      <c r="AB108" s="12"/>
      <c r="AC108" s="12"/>
      <c r="AD108" s="12"/>
      <c r="AE108" s="12"/>
      <c r="AG108" s="12"/>
      <c r="AH108" s="12"/>
    </row>
    <row r="109" spans="2:34" hidden="1" outlineLevel="1" x14ac:dyDescent="0.2">
      <c r="B109" s="48" t="s">
        <v>149</v>
      </c>
      <c r="C109" s="48"/>
      <c r="D109" s="2">
        <f t="shared" ref="D109:Y109" ca="1" si="44">-D106*(1-$V$12)</f>
        <v>-16.071999999999996</v>
      </c>
      <c r="E109" s="2">
        <f t="shared" ca="1" si="44"/>
        <v>-17.023999999999997</v>
      </c>
      <c r="F109" s="2">
        <f t="shared" ca="1" si="44"/>
        <v>-18.073999999999998</v>
      </c>
      <c r="G109" s="2">
        <f t="shared" ca="1" si="44"/>
        <v>-19.176499999999997</v>
      </c>
      <c r="H109" s="2">
        <f t="shared" ca="1" si="44"/>
        <v>-20.334125</v>
      </c>
      <c r="I109" s="2">
        <f t="shared" ca="1" si="44"/>
        <v>-21.549631250000001</v>
      </c>
      <c r="J109" s="2">
        <f t="shared" ca="1" si="44"/>
        <v>-22.825912812500004</v>
      </c>
      <c r="K109" s="2">
        <f t="shared" ca="1" si="44"/>
        <v>-24.166008453125006</v>
      </c>
      <c r="L109" s="2">
        <f t="shared" ca="1" si="44"/>
        <v>-25.573108875781259</v>
      </c>
      <c r="M109" s="2">
        <f t="shared" ca="1" si="44"/>
        <v>-27.05056431957032</v>
      </c>
      <c r="N109" s="2">
        <f t="shared" ca="1" si="44"/>
        <v>-28.601892535548835</v>
      </c>
      <c r="O109" s="2">
        <f t="shared" ca="1" si="44"/>
        <v>-30.230787162326283</v>
      </c>
      <c r="P109" s="2">
        <f t="shared" ca="1" si="44"/>
        <v>-31.941126520442598</v>
      </c>
      <c r="Q109" s="2">
        <f t="shared" ca="1" si="44"/>
        <v>-33.736982846464727</v>
      </c>
      <c r="R109" s="2">
        <f t="shared" ca="1" si="44"/>
        <v>-35.622631988787965</v>
      </c>
      <c r="S109" s="2">
        <f t="shared" ca="1" si="44"/>
        <v>-37.602563588227369</v>
      </c>
      <c r="T109" s="2">
        <f t="shared" ca="1" si="44"/>
        <v>-39.68149176763874</v>
      </c>
      <c r="U109" s="2">
        <f t="shared" ca="1" si="44"/>
        <v>-41.864366356020682</v>
      </c>
      <c r="V109" s="2">
        <f t="shared" ca="1" si="44"/>
        <v>-44.156384673821712</v>
      </c>
      <c r="W109" s="2">
        <f t="shared" ca="1" si="44"/>
        <v>-46.563003907512801</v>
      </c>
      <c r="X109" s="2">
        <f t="shared" ca="1" si="44"/>
        <v>-49.089954102888441</v>
      </c>
      <c r="Y109" s="2">
        <f t="shared" ca="1" si="44"/>
        <v>-51.743251808032866</v>
      </c>
      <c r="AA109" s="12">
        <f ca="1">IFERROR((E109/D109)-1,"")</f>
        <v>5.9233449477352096E-2</v>
      </c>
      <c r="AB109" s="12">
        <f ca="1">IFERROR((J109/D109)^(1/6)-1,"")</f>
        <v>6.0212788302234088E-2</v>
      </c>
      <c r="AC109" s="12">
        <f ca="1">IFERROR((O109/D109)^(1/11)-1,"")</f>
        <v>5.9116158186934165E-2</v>
      </c>
      <c r="AD109" s="12">
        <f ca="1">IFERROR((T109/D109)^(1/16)-1,"")</f>
        <v>5.8113801569481316E-2</v>
      </c>
      <c r="AE109" s="12">
        <f ca="1">IFERROR((Y109/D109)^(1/21)-1,"")</f>
        <v>5.7256054108014043E-2</v>
      </c>
      <c r="AG109" s="12"/>
      <c r="AH109" s="12"/>
    </row>
    <row r="110" spans="2:34" hidden="1" outlineLevel="1" x14ac:dyDescent="0.2">
      <c r="B110" s="51" t="s">
        <v>168</v>
      </c>
      <c r="C110" s="51"/>
      <c r="D110" s="24">
        <f ca="1">D106+D107+D109</f>
        <v>64.288000000000011</v>
      </c>
      <c r="E110" s="24">
        <f t="shared" ref="E110:Y110" ca="1" si="45">E106+E107+E109</f>
        <v>68.096000000000004</v>
      </c>
      <c r="F110" s="24">
        <f t="shared" ca="1" si="45"/>
        <v>72.296000000000006</v>
      </c>
      <c r="G110" s="24">
        <f t="shared" ca="1" si="45"/>
        <v>76.706000000000017</v>
      </c>
      <c r="H110" s="24">
        <f t="shared" ca="1" si="45"/>
        <v>81.336500000000015</v>
      </c>
      <c r="I110" s="24">
        <f t="shared" ca="1" si="45"/>
        <v>86.198525000000018</v>
      </c>
      <c r="J110" s="24">
        <f t="shared" ca="1" si="45"/>
        <v>91.30365125000003</v>
      </c>
      <c r="K110" s="24">
        <f t="shared" ca="1" si="45"/>
        <v>96.664033812500051</v>
      </c>
      <c r="L110" s="24">
        <f t="shared" ca="1" si="45"/>
        <v>102.29243550312506</v>
      </c>
      <c r="M110" s="24">
        <f t="shared" ca="1" si="45"/>
        <v>108.20225727828131</v>
      </c>
      <c r="N110" s="24">
        <f t="shared" ca="1" si="45"/>
        <v>114.40757014219537</v>
      </c>
      <c r="O110" s="24">
        <f t="shared" ca="1" si="45"/>
        <v>120.92314864930516</v>
      </c>
      <c r="P110" s="24">
        <f t="shared" ca="1" si="45"/>
        <v>127.76450608177043</v>
      </c>
      <c r="Q110" s="24">
        <f t="shared" ca="1" si="45"/>
        <v>134.94793138585896</v>
      </c>
      <c r="R110" s="24">
        <f t="shared" ca="1" si="45"/>
        <v>142.49052795515192</v>
      </c>
      <c r="S110" s="24">
        <f t="shared" ca="1" si="45"/>
        <v>150.41025435290953</v>
      </c>
      <c r="T110" s="24">
        <f t="shared" ca="1" si="45"/>
        <v>158.72596707055501</v>
      </c>
      <c r="U110" s="24">
        <f t="shared" ca="1" si="45"/>
        <v>167.45746542408278</v>
      </c>
      <c r="V110" s="24">
        <f t="shared" ca="1" si="45"/>
        <v>176.62553869528691</v>
      </c>
      <c r="W110" s="24">
        <f t="shared" ca="1" si="45"/>
        <v>186.25201563005126</v>
      </c>
      <c r="X110" s="24">
        <f t="shared" ca="1" si="45"/>
        <v>196.35981641155382</v>
      </c>
      <c r="Y110" s="24">
        <f t="shared" ca="1" si="45"/>
        <v>206.97300723213152</v>
      </c>
      <c r="Z110" s="3"/>
      <c r="AA110" s="14">
        <f ca="1">IFERROR((E110/D110)-1,"")</f>
        <v>5.9233449477351874E-2</v>
      </c>
      <c r="AB110" s="14">
        <f ca="1">IFERROR((J110/D110)^(1/6)-1,"")</f>
        <v>6.0212788302234088E-2</v>
      </c>
      <c r="AC110" s="14">
        <f ca="1">IFERROR((O110/D110)^(1/11)-1,"")</f>
        <v>5.9116158186934165E-2</v>
      </c>
      <c r="AD110" s="14">
        <f ca="1">IFERROR((T110/D110)^(1/16)-1,"")</f>
        <v>5.8113801569481316E-2</v>
      </c>
      <c r="AE110" s="14">
        <f ca="1">IFERROR((Y110/D110)^(1/21)-1,"")</f>
        <v>5.7256054108014043E-2</v>
      </c>
      <c r="AG110" s="12"/>
      <c r="AH110" s="12"/>
    </row>
    <row r="111" spans="2:34" hidden="1" outlineLevel="1" x14ac:dyDescent="0.2">
      <c r="B111" s="48" t="s">
        <v>169</v>
      </c>
      <c r="C111" s="48"/>
      <c r="D111" s="2">
        <f ca="1">IFERROR(-$V$11*D114-D110,0)</f>
        <v>-104.28800000000001</v>
      </c>
      <c r="E111" s="2">
        <f ca="1">IFERROR(-E110,0)</f>
        <v>-68.096000000000004</v>
      </c>
      <c r="F111" s="2">
        <f t="shared" ref="F111:Y111" ca="1" si="46">IFERROR(-F110,0)</f>
        <v>-72.296000000000006</v>
      </c>
      <c r="G111" s="2">
        <f t="shared" ca="1" si="46"/>
        <v>-76.706000000000017</v>
      </c>
      <c r="H111" s="2">
        <f t="shared" ca="1" si="46"/>
        <v>-81.336500000000015</v>
      </c>
      <c r="I111" s="2">
        <f t="shared" ca="1" si="46"/>
        <v>-86.198525000000018</v>
      </c>
      <c r="J111" s="2">
        <f t="shared" ca="1" si="46"/>
        <v>-91.30365125000003</v>
      </c>
      <c r="K111" s="2">
        <f t="shared" ca="1" si="46"/>
        <v>-96.664033812500051</v>
      </c>
      <c r="L111" s="2">
        <f t="shared" ca="1" si="46"/>
        <v>-102.29243550312506</v>
      </c>
      <c r="M111" s="2">
        <f t="shared" ca="1" si="46"/>
        <v>-108.20225727828131</v>
      </c>
      <c r="N111" s="2">
        <f t="shared" ca="1" si="46"/>
        <v>-114.40757014219537</v>
      </c>
      <c r="O111" s="2">
        <f t="shared" ca="1" si="46"/>
        <v>-120.92314864930516</v>
      </c>
      <c r="P111" s="2">
        <f t="shared" ca="1" si="46"/>
        <v>-127.76450608177043</v>
      </c>
      <c r="Q111" s="2">
        <f t="shared" ca="1" si="46"/>
        <v>-134.94793138585896</v>
      </c>
      <c r="R111" s="2">
        <f t="shared" ca="1" si="46"/>
        <v>-142.49052795515192</v>
      </c>
      <c r="S111" s="2">
        <f t="shared" ca="1" si="46"/>
        <v>-150.41025435290953</v>
      </c>
      <c r="T111" s="2">
        <f t="shared" ca="1" si="46"/>
        <v>-158.72596707055501</v>
      </c>
      <c r="U111" s="2">
        <f t="shared" ca="1" si="46"/>
        <v>-167.45746542408278</v>
      </c>
      <c r="V111" s="2">
        <f t="shared" ca="1" si="46"/>
        <v>-176.62553869528691</v>
      </c>
      <c r="W111" s="2">
        <f t="shared" ca="1" si="46"/>
        <v>-186.25201563005126</v>
      </c>
      <c r="X111" s="2">
        <f t="shared" ca="1" si="46"/>
        <v>-196.35981641155382</v>
      </c>
      <c r="Y111" s="2">
        <f t="shared" ca="1" si="46"/>
        <v>-206.97300723213152</v>
      </c>
      <c r="AA111" s="12">
        <f ca="1">IFERROR((E111/D111)-1,"")</f>
        <v>-0.34703896900889852</v>
      </c>
      <c r="AB111" s="12">
        <f ca="1">IFERROR((J111/D111)^(1/6)-1,"")</f>
        <v>-2.191717136543847E-2</v>
      </c>
      <c r="AC111" s="12">
        <f ca="1">IFERROR((O111/D111)^(1/11)-1,"")</f>
        <v>1.3545364355615375E-2</v>
      </c>
      <c r="AD111" s="12">
        <f ca="1">IFERROR((T111/D111)^(1/16)-1,"")</f>
        <v>2.6599037358931321E-2</v>
      </c>
      <c r="AE111" s="12">
        <f ca="1">IFERROR((Y111/D111)^(1/21)-1,"")</f>
        <v>3.3178138468708651E-2</v>
      </c>
      <c r="AG111" s="12"/>
      <c r="AH111" s="12"/>
    </row>
    <row r="112" spans="2:34" hidden="1" outlineLevel="1" x14ac:dyDescent="0.2">
      <c r="B112" s="5" t="s">
        <v>170</v>
      </c>
      <c r="C112" s="5"/>
      <c r="D112" s="24">
        <f t="shared" ref="D112:Y112" ca="1" si="47">D102+D103+D104+D105+D107+D109+D111</f>
        <v>-40</v>
      </c>
      <c r="E112" s="24">
        <f t="shared" ca="1" si="47"/>
        <v>0</v>
      </c>
      <c r="F112" s="24">
        <f t="shared" ca="1" si="47"/>
        <v>0</v>
      </c>
      <c r="G112" s="24">
        <f t="shared" ca="1" si="47"/>
        <v>0</v>
      </c>
      <c r="H112" s="24">
        <f t="shared" ca="1" si="47"/>
        <v>0</v>
      </c>
      <c r="I112" s="24">
        <f t="shared" ca="1" si="47"/>
        <v>0</v>
      </c>
      <c r="J112" s="24">
        <f t="shared" ca="1" si="47"/>
        <v>0</v>
      </c>
      <c r="K112" s="24">
        <f t="shared" ca="1" si="47"/>
        <v>0</v>
      </c>
      <c r="L112" s="24">
        <f t="shared" ca="1" si="47"/>
        <v>0</v>
      </c>
      <c r="M112" s="24">
        <f t="shared" ca="1" si="47"/>
        <v>0</v>
      </c>
      <c r="N112" s="24">
        <f t="shared" ca="1" si="47"/>
        <v>0</v>
      </c>
      <c r="O112" s="24">
        <f t="shared" ca="1" si="47"/>
        <v>0</v>
      </c>
      <c r="P112" s="24">
        <f t="shared" ca="1" si="47"/>
        <v>0</v>
      </c>
      <c r="Q112" s="24">
        <f t="shared" ca="1" si="47"/>
        <v>0</v>
      </c>
      <c r="R112" s="24">
        <f t="shared" ca="1" si="47"/>
        <v>0</v>
      </c>
      <c r="S112" s="24">
        <f t="shared" ca="1" si="47"/>
        <v>0</v>
      </c>
      <c r="T112" s="24">
        <f t="shared" ca="1" si="47"/>
        <v>0</v>
      </c>
      <c r="U112" s="24">
        <f t="shared" ca="1" si="47"/>
        <v>0</v>
      </c>
      <c r="V112" s="24">
        <f t="shared" ca="1" si="47"/>
        <v>0</v>
      </c>
      <c r="W112" s="24">
        <f t="shared" ca="1" si="47"/>
        <v>0</v>
      </c>
      <c r="X112" s="24">
        <f t="shared" ca="1" si="47"/>
        <v>0</v>
      </c>
      <c r="Y112" s="24">
        <f t="shared" ca="1" si="47"/>
        <v>0</v>
      </c>
      <c r="Z112" s="9"/>
      <c r="AA112" s="22">
        <f ca="1">IFERROR((E112/D112)-1,"")</f>
        <v>-1</v>
      </c>
      <c r="AB112" s="22">
        <f ca="1">IFERROR((J112/D112)^(1/6)-1,"")</f>
        <v>-1</v>
      </c>
      <c r="AC112" s="22">
        <f ca="1">IFERROR((O112/D112)^(1/11)-1,"")</f>
        <v>-1</v>
      </c>
      <c r="AD112" s="22">
        <f ca="1">IFERROR((T112/D112)^(1/16)-1,"")</f>
        <v>-1</v>
      </c>
      <c r="AE112" s="22">
        <f ca="1">IFERROR((Y112/D112)^(1/21)-1,"")</f>
        <v>-1</v>
      </c>
      <c r="AG112" s="14"/>
      <c r="AH112" s="14"/>
    </row>
    <row r="113" spans="2:34" hidden="1" outlineLevel="1" x14ac:dyDescent="0.2">
      <c r="AA113" s="13"/>
      <c r="AB113" s="13"/>
      <c r="AC113" s="13"/>
      <c r="AD113" s="13"/>
      <c r="AE113" s="13"/>
    </row>
    <row r="114" spans="2:34" hidden="1" outlineLevel="1" x14ac:dyDescent="0.2">
      <c r="B114" t="s">
        <v>171</v>
      </c>
      <c r="D114" s="2">
        <f>O7</f>
        <v>50</v>
      </c>
      <c r="E114" s="2">
        <f t="shared" ref="E114:X114" ca="1" si="48">D115</f>
        <v>10</v>
      </c>
      <c r="F114" s="2">
        <f t="shared" ca="1" si="48"/>
        <v>10</v>
      </c>
      <c r="G114" s="2">
        <f t="shared" ca="1" si="48"/>
        <v>10</v>
      </c>
      <c r="H114" s="2">
        <f t="shared" ca="1" si="48"/>
        <v>10</v>
      </c>
      <c r="I114" s="2">
        <f t="shared" ca="1" si="48"/>
        <v>10</v>
      </c>
      <c r="J114" s="2">
        <f t="shared" ca="1" si="48"/>
        <v>10</v>
      </c>
      <c r="K114" s="2">
        <f t="shared" ca="1" si="48"/>
        <v>10</v>
      </c>
      <c r="L114" s="2">
        <f t="shared" ca="1" si="48"/>
        <v>10</v>
      </c>
      <c r="M114" s="2">
        <f t="shared" ca="1" si="48"/>
        <v>10</v>
      </c>
      <c r="N114" s="2">
        <f t="shared" ca="1" si="48"/>
        <v>10</v>
      </c>
      <c r="O114" s="2">
        <f t="shared" ca="1" si="48"/>
        <v>10</v>
      </c>
      <c r="P114" s="2">
        <f t="shared" ca="1" si="48"/>
        <v>10</v>
      </c>
      <c r="Q114" s="2">
        <f t="shared" ca="1" si="48"/>
        <v>10</v>
      </c>
      <c r="R114" s="2">
        <f t="shared" ca="1" si="48"/>
        <v>10</v>
      </c>
      <c r="S114" s="2">
        <f t="shared" ca="1" si="48"/>
        <v>10</v>
      </c>
      <c r="T114" s="2">
        <f t="shared" ca="1" si="48"/>
        <v>10</v>
      </c>
      <c r="U114" s="2">
        <f ca="1">T115</f>
        <v>10</v>
      </c>
      <c r="V114" s="2">
        <f t="shared" ca="1" si="48"/>
        <v>10</v>
      </c>
      <c r="W114" s="2">
        <f t="shared" ca="1" si="48"/>
        <v>10</v>
      </c>
      <c r="X114" s="2">
        <f t="shared" ca="1" si="48"/>
        <v>10</v>
      </c>
      <c r="Y114" s="2">
        <f ca="1">X115</f>
        <v>10</v>
      </c>
      <c r="AA114" s="12">
        <f ca="1">IFERROR((E114/D114)-1,"")</f>
        <v>-0.8</v>
      </c>
      <c r="AB114" s="12">
        <f ca="1">IFERROR((J114/D114)^(1/6)-1,"")</f>
        <v>-0.23527550866826996</v>
      </c>
      <c r="AC114" s="12">
        <f ca="1">IFERROR((O114/D114)^(1/11)-1,"")</f>
        <v>-0.1361123362974096</v>
      </c>
      <c r="AD114" s="12">
        <f ca="1">IFERROR((T114/D114)^(1/16)-1,"")</f>
        <v>-9.5696160597588453E-2</v>
      </c>
      <c r="AE114" s="12">
        <f ca="1">IFERROR((Y114/D114)^(1/21)-1,"")</f>
        <v>-7.377667396743226E-2</v>
      </c>
      <c r="AG114" s="12"/>
      <c r="AH114" s="12"/>
    </row>
    <row r="115" spans="2:34" hidden="1" outlineLevel="1" x14ac:dyDescent="0.2">
      <c r="B115" s="52" t="s">
        <v>172</v>
      </c>
      <c r="C115" s="52"/>
      <c r="D115" s="53">
        <f t="shared" ref="D115:Y115" ca="1" si="49">D114+D112</f>
        <v>10</v>
      </c>
      <c r="E115" s="53">
        <f t="shared" ca="1" si="49"/>
        <v>10</v>
      </c>
      <c r="F115" s="53">
        <f t="shared" ca="1" si="49"/>
        <v>10</v>
      </c>
      <c r="G115" s="53">
        <f t="shared" ca="1" si="49"/>
        <v>10</v>
      </c>
      <c r="H115" s="53">
        <f t="shared" ca="1" si="49"/>
        <v>10</v>
      </c>
      <c r="I115" s="53">
        <f t="shared" ca="1" si="49"/>
        <v>10</v>
      </c>
      <c r="J115" s="53">
        <f t="shared" ca="1" si="49"/>
        <v>10</v>
      </c>
      <c r="K115" s="53">
        <f t="shared" ca="1" si="49"/>
        <v>10</v>
      </c>
      <c r="L115" s="53">
        <f t="shared" ca="1" si="49"/>
        <v>10</v>
      </c>
      <c r="M115" s="53">
        <f t="shared" ca="1" si="49"/>
        <v>10</v>
      </c>
      <c r="N115" s="53">
        <f t="shared" ca="1" si="49"/>
        <v>10</v>
      </c>
      <c r="O115" s="53">
        <f t="shared" ca="1" si="49"/>
        <v>10</v>
      </c>
      <c r="P115" s="53">
        <f t="shared" ca="1" si="49"/>
        <v>10</v>
      </c>
      <c r="Q115" s="53">
        <f t="shared" ca="1" si="49"/>
        <v>10</v>
      </c>
      <c r="R115" s="53">
        <f t="shared" ca="1" si="49"/>
        <v>10</v>
      </c>
      <c r="S115" s="53">
        <f t="shared" ca="1" si="49"/>
        <v>10</v>
      </c>
      <c r="T115" s="53">
        <f t="shared" ca="1" si="49"/>
        <v>10</v>
      </c>
      <c r="U115" s="53">
        <f t="shared" ca="1" si="49"/>
        <v>10</v>
      </c>
      <c r="V115" s="53">
        <f t="shared" ca="1" si="49"/>
        <v>10</v>
      </c>
      <c r="W115" s="53">
        <f t="shared" ca="1" si="49"/>
        <v>10</v>
      </c>
      <c r="X115" s="53">
        <f t="shared" ca="1" si="49"/>
        <v>10</v>
      </c>
      <c r="Y115" s="53">
        <f t="shared" ca="1" si="49"/>
        <v>10</v>
      </c>
      <c r="Z115" s="3"/>
      <c r="AA115" s="54">
        <f ca="1">IFERROR((E115/D115)-1,"")</f>
        <v>0</v>
      </c>
      <c r="AB115" s="54">
        <f ca="1">IFERROR((J115/D115)^(1/6)-1,"")</f>
        <v>0</v>
      </c>
      <c r="AC115" s="54">
        <f ca="1">IFERROR((O115/D115)^(1/11)-1,"")</f>
        <v>0</v>
      </c>
      <c r="AD115" s="54">
        <f ca="1">IFERROR((T115/D115)^(1/16)-1,"")</f>
        <v>0</v>
      </c>
      <c r="AE115" s="54">
        <f ca="1">IFERROR((Y115/D115)^(1/21)-1,"")</f>
        <v>0</v>
      </c>
    </row>
    <row r="116" spans="2:34" hidden="1" outlineLevel="1" x14ac:dyDescent="0.2">
      <c r="B116" t="s">
        <v>173</v>
      </c>
      <c r="D116" s="252">
        <f>O4*D22/10^3</f>
        <v>0</v>
      </c>
      <c r="E116" s="2">
        <f t="shared" ref="E116:X116" ca="1" si="50">D117</f>
        <v>104.28800000000001</v>
      </c>
      <c r="F116" s="2">
        <f t="shared" ca="1" si="50"/>
        <v>224.52800000000002</v>
      </c>
      <c r="G116" s="2">
        <f t="shared" ca="1" si="50"/>
        <v>403.47480000000002</v>
      </c>
      <c r="H116" s="2">
        <f t="shared" ca="1" si="50"/>
        <v>661.74446</v>
      </c>
      <c r="I116" s="2">
        <f t="shared" ca="1" si="50"/>
        <v>1024.3223555</v>
      </c>
      <c r="J116" s="2">
        <f t="shared" ca="1" si="50"/>
        <v>1520.2498226999999</v>
      </c>
      <c r="K116" s="2">
        <f t="shared" ca="1" si="50"/>
        <v>2181.6471574625002</v>
      </c>
      <c r="L116" s="2">
        <f t="shared" ca="1" si="50"/>
        <v>3041.8876963868747</v>
      </c>
      <c r="M116" s="2">
        <f t="shared" ca="1" si="50"/>
        <v>4132.7936332157333</v>
      </c>
      <c r="N116" s="2">
        <f t="shared" ca="1" si="50"/>
        <v>5480.833980458734</v>
      </c>
      <c r="O116" s="2">
        <f t="shared" ca="1" si="50"/>
        <v>7102.4708952270803</v>
      </c>
      <c r="P116" s="2">
        <f t="shared" ca="1" si="50"/>
        <v>8999.0117676831542</v>
      </c>
      <c r="Q116" s="2">
        <f t="shared" ca="1" si="50"/>
        <v>11151.553921493633</v>
      </c>
      <c r="R116" s="2">
        <f t="shared" ca="1" si="50"/>
        <v>13516.812637178218</v>
      </c>
      <c r="S116" s="2">
        <f t="shared" ca="1" si="50"/>
        <v>16362.665692569013</v>
      </c>
      <c r="T116" s="2">
        <f t="shared" ca="1" si="50"/>
        <v>19785.609085435724</v>
      </c>
      <c r="U116" s="2">
        <f ca="1">T117</f>
        <v>23901.456869593421</v>
      </c>
      <c r="V116" s="2">
        <f t="shared" ca="1" si="50"/>
        <v>28849.205708936188</v>
      </c>
      <c r="W116" s="2">
        <f t="shared" ca="1" si="50"/>
        <v>34795.672389418709</v>
      </c>
      <c r="X116" s="2">
        <f t="shared" ca="1" si="50"/>
        <v>41941.058882932499</v>
      </c>
      <c r="Y116" s="2">
        <f ca="1">X117</f>
        <v>50525.630475930549</v>
      </c>
      <c r="AA116" s="12" t="str">
        <f ca="1">IFERROR((E116/D116)-1,"")</f>
        <v/>
      </c>
      <c r="AB116" s="12" t="str">
        <f ca="1">IFERROR((J116/D116)^(1/6)-1,"")</f>
        <v/>
      </c>
      <c r="AC116" s="12" t="str">
        <f ca="1">IFERROR((O116/D116)^(1/11)-1,"")</f>
        <v/>
      </c>
      <c r="AD116" s="12" t="str">
        <f ca="1">IFERROR((T116/D116)^(1/16)-1,"")</f>
        <v/>
      </c>
      <c r="AE116" s="12" t="str">
        <f ca="1">IFERROR((Y116/D116)^(1/21)-1,"")</f>
        <v/>
      </c>
      <c r="AF116" s="6"/>
    </row>
    <row r="117" spans="2:34" hidden="1" outlineLevel="1" x14ac:dyDescent="0.2">
      <c r="B117" s="52" t="s">
        <v>174</v>
      </c>
      <c r="C117" s="52"/>
      <c r="D117" s="53">
        <f ca="1">D116-D111</f>
        <v>104.28800000000001</v>
      </c>
      <c r="E117" s="53">
        <f ca="1">E116*(1+Macro!D52)-E111</f>
        <v>224.52800000000002</v>
      </c>
      <c r="F117" s="53">
        <f ca="1">F116*(1+Macro!E52)-F111</f>
        <v>403.47480000000002</v>
      </c>
      <c r="G117" s="53">
        <f ca="1">G116*(1+Macro!F52)-G111</f>
        <v>661.74446</v>
      </c>
      <c r="H117" s="53">
        <f ca="1">H116*(1+Macro!G52)-H111</f>
        <v>1024.3223555</v>
      </c>
      <c r="I117" s="53">
        <f ca="1">I116*(1+Macro!H52)-I111</f>
        <v>1520.2498226999999</v>
      </c>
      <c r="J117" s="53">
        <f ca="1">J116*(1+Macro!I52)-J111</f>
        <v>2181.6471574625002</v>
      </c>
      <c r="K117" s="53">
        <f ca="1">K116*(1+Macro!J52)-K111</f>
        <v>3041.8876963868747</v>
      </c>
      <c r="L117" s="53">
        <f ca="1">L116*(1+Macro!K52)-L111</f>
        <v>4132.7936332157333</v>
      </c>
      <c r="M117" s="53">
        <f ca="1">M116*(1+Macro!L52)-M111</f>
        <v>5480.833980458734</v>
      </c>
      <c r="N117" s="53">
        <f ca="1">N116*(1+Macro!M52)-N111</f>
        <v>7102.4708952270803</v>
      </c>
      <c r="O117" s="53">
        <f ca="1">O116*(1+Macro!N52)-O111</f>
        <v>8999.0117676831542</v>
      </c>
      <c r="P117" s="53">
        <f ca="1">P116*(1+Macro!O52)-P111</f>
        <v>11151.553921493633</v>
      </c>
      <c r="Q117" s="53">
        <f ca="1">Q116*(1+Macro!P52)-Q111</f>
        <v>13516.812637178218</v>
      </c>
      <c r="R117" s="53">
        <f ca="1">R116*(1+Macro!Q52)-R111</f>
        <v>16362.665692569013</v>
      </c>
      <c r="S117" s="53">
        <f ca="1">S116*(1+Macro!R52)-S111</f>
        <v>19785.609085435724</v>
      </c>
      <c r="T117" s="53">
        <f ca="1">T116*(1+Macro!S52)-T111</f>
        <v>23901.456869593421</v>
      </c>
      <c r="U117" s="53">
        <f ca="1">U116*(1+Macro!T52)-U111</f>
        <v>28849.205708936188</v>
      </c>
      <c r="V117" s="53">
        <f ca="1">V116*(1+Macro!U52)-V111</f>
        <v>34795.672389418709</v>
      </c>
      <c r="W117" s="53">
        <f ca="1">W116*(1+Macro!V52)-W111</f>
        <v>41941.058882932499</v>
      </c>
      <c r="X117" s="53">
        <f ca="1">X116*(1+Macro!W52)-X111</f>
        <v>50525.630475930549</v>
      </c>
      <c r="Y117" s="53">
        <f ca="1">Y116*(1+Macro!X52)-Y111</f>
        <v>60837.729578348786</v>
      </c>
      <c r="Z117" s="3"/>
      <c r="AA117" s="54">
        <f ca="1">IFERROR((E117/D117)-1,"")</f>
        <v>1.1529610309911016</v>
      </c>
      <c r="AB117" s="54">
        <f ca="1">IFERROR((J117/D117)^(1/6)-1,"")</f>
        <v>0.65993734460156683</v>
      </c>
      <c r="AC117" s="54">
        <f ca="1">IFERROR((O117/D117)^(1/11)-1,"")</f>
        <v>0.49967242961635772</v>
      </c>
      <c r="AD117" s="54">
        <f ca="1">IFERROR((T117/D117)^(1/16)-1,"")</f>
        <v>0.40446809269432693</v>
      </c>
      <c r="AE117" s="54">
        <f ca="1">IFERROR((Y117/D117)^(1/21)-1,"")</f>
        <v>0.35428904284469964</v>
      </c>
    </row>
    <row r="118" spans="2:34" hidden="1" outlineLevel="1" x14ac:dyDescent="0.2"/>
    <row r="119" spans="2:34" hidden="1" outlineLevel="1" x14ac:dyDescent="0.2">
      <c r="B119" t="s">
        <v>175</v>
      </c>
      <c r="D119" s="2">
        <f>O5</f>
        <v>200</v>
      </c>
      <c r="E119" s="2">
        <f ca="1">D120</f>
        <v>200</v>
      </c>
      <c r="F119" s="2">
        <f t="shared" ref="F119:X119" ca="1" si="51">E120</f>
        <v>200</v>
      </c>
      <c r="G119" s="2">
        <f t="shared" ca="1" si="51"/>
        <v>200</v>
      </c>
      <c r="H119" s="2">
        <f t="shared" ca="1" si="51"/>
        <v>200</v>
      </c>
      <c r="I119" s="2">
        <f t="shared" ca="1" si="51"/>
        <v>200</v>
      </c>
      <c r="J119" s="2">
        <f t="shared" ca="1" si="51"/>
        <v>200</v>
      </c>
      <c r="K119" s="2">
        <f t="shared" ca="1" si="51"/>
        <v>200</v>
      </c>
      <c r="L119" s="2">
        <f t="shared" ca="1" si="51"/>
        <v>200</v>
      </c>
      <c r="M119" s="2">
        <f t="shared" ca="1" si="51"/>
        <v>200</v>
      </c>
      <c r="N119" s="2">
        <f t="shared" ca="1" si="51"/>
        <v>200</v>
      </c>
      <c r="O119" s="2">
        <f t="shared" ca="1" si="51"/>
        <v>200</v>
      </c>
      <c r="P119" s="2">
        <f t="shared" ca="1" si="51"/>
        <v>200</v>
      </c>
      <c r="Q119" s="2">
        <f t="shared" ca="1" si="51"/>
        <v>200</v>
      </c>
      <c r="R119" s="2">
        <f t="shared" ca="1" si="51"/>
        <v>200</v>
      </c>
      <c r="S119" s="2">
        <f t="shared" ca="1" si="51"/>
        <v>200</v>
      </c>
      <c r="T119" s="2">
        <f ca="1">S120</f>
        <v>200</v>
      </c>
      <c r="U119" s="2">
        <f ca="1">T120</f>
        <v>200</v>
      </c>
      <c r="V119" s="2">
        <f t="shared" ca="1" si="51"/>
        <v>200</v>
      </c>
      <c r="W119" s="2">
        <f t="shared" ca="1" si="51"/>
        <v>200</v>
      </c>
      <c r="X119" s="2">
        <f t="shared" ca="1" si="51"/>
        <v>200</v>
      </c>
      <c r="Y119" s="2">
        <f ca="1">X120</f>
        <v>200</v>
      </c>
      <c r="AA119" s="12">
        <f ca="1">IFERROR((E119/D119)-1,"")</f>
        <v>0</v>
      </c>
      <c r="AB119" s="12">
        <f ca="1">IFERROR((J119/D119)^(1/6)-1,"")</f>
        <v>0</v>
      </c>
      <c r="AC119" s="12">
        <f ca="1">IFERROR((O119/D119)^(1/11)-1,"")</f>
        <v>0</v>
      </c>
      <c r="AD119" s="12">
        <f ca="1">IFERROR((T119/D119)^(1/16)-1,"")</f>
        <v>0</v>
      </c>
      <c r="AE119" s="12">
        <f ca="1">IFERROR((Y119/D119)^(1/21)-1,"")</f>
        <v>0</v>
      </c>
    </row>
    <row r="120" spans="2:34" hidden="1" outlineLevel="1" x14ac:dyDescent="0.2">
      <c r="B120" s="52" t="s">
        <v>176</v>
      </c>
      <c r="C120" s="52"/>
      <c r="D120" s="53">
        <f t="shared" ref="D120:Y120" ca="1" si="52">D119+D104</f>
        <v>200</v>
      </c>
      <c r="E120" s="53">
        <f t="shared" ca="1" si="52"/>
        <v>200</v>
      </c>
      <c r="F120" s="53">
        <f t="shared" ca="1" si="52"/>
        <v>200</v>
      </c>
      <c r="G120" s="53">
        <f t="shared" ca="1" si="52"/>
        <v>200</v>
      </c>
      <c r="H120" s="53">
        <f t="shared" ca="1" si="52"/>
        <v>200</v>
      </c>
      <c r="I120" s="53">
        <f t="shared" ca="1" si="52"/>
        <v>200</v>
      </c>
      <c r="J120" s="53">
        <f t="shared" ca="1" si="52"/>
        <v>200</v>
      </c>
      <c r="K120" s="53">
        <f t="shared" ca="1" si="52"/>
        <v>200</v>
      </c>
      <c r="L120" s="53">
        <f t="shared" ca="1" si="52"/>
        <v>200</v>
      </c>
      <c r="M120" s="53">
        <f t="shared" ca="1" si="52"/>
        <v>200</v>
      </c>
      <c r="N120" s="53">
        <f t="shared" ca="1" si="52"/>
        <v>200</v>
      </c>
      <c r="O120" s="53">
        <f t="shared" ca="1" si="52"/>
        <v>200</v>
      </c>
      <c r="P120" s="53">
        <f t="shared" ca="1" si="52"/>
        <v>200</v>
      </c>
      <c r="Q120" s="53">
        <f t="shared" ca="1" si="52"/>
        <v>200</v>
      </c>
      <c r="R120" s="53">
        <f t="shared" ca="1" si="52"/>
        <v>200</v>
      </c>
      <c r="S120" s="53">
        <f t="shared" ca="1" si="52"/>
        <v>200</v>
      </c>
      <c r="T120" s="53">
        <f t="shared" ca="1" si="52"/>
        <v>200</v>
      </c>
      <c r="U120" s="53">
        <f t="shared" ca="1" si="52"/>
        <v>200</v>
      </c>
      <c r="V120" s="53">
        <f t="shared" ca="1" si="52"/>
        <v>200</v>
      </c>
      <c r="W120" s="53">
        <f t="shared" ca="1" si="52"/>
        <v>200</v>
      </c>
      <c r="X120" s="53">
        <f t="shared" ca="1" si="52"/>
        <v>200</v>
      </c>
      <c r="Y120" s="53">
        <f t="shared" ca="1" si="52"/>
        <v>200</v>
      </c>
      <c r="Z120" s="3"/>
      <c r="AA120" s="54">
        <f ca="1">IFERROR((E120/D120)-1,"")</f>
        <v>0</v>
      </c>
      <c r="AB120" s="54">
        <f ca="1">IFERROR((J120/D120)^(1/6)-1,"")</f>
        <v>0</v>
      </c>
      <c r="AC120" s="54">
        <f ca="1">IFERROR((O120/D120)^(1/11)-1,"")</f>
        <v>0</v>
      </c>
      <c r="AD120" s="54">
        <f ca="1">IFERROR((T120/D120)^(1/16)-1,"")</f>
        <v>0</v>
      </c>
      <c r="AE120" s="54">
        <f ca="1">IFERROR((Y120/D120)^(1/21)-1,"")</f>
        <v>0</v>
      </c>
    </row>
    <row r="121" spans="2:34" hidden="1" outlineLevel="1" x14ac:dyDescent="0.2">
      <c r="B121" s="18" t="s">
        <v>177</v>
      </c>
      <c r="C121" s="18"/>
      <c r="D121" s="57">
        <f t="shared" ref="D121:Y121" ca="1" si="53">IFERROR((D120-D115)/(D117),"NM")</f>
        <v>1.8218778766492787</v>
      </c>
      <c r="E121" s="57">
        <f t="shared" ca="1" si="53"/>
        <v>0.84621962516924387</v>
      </c>
      <c r="F121" s="57">
        <f t="shared" ca="1" si="53"/>
        <v>0.47090921167815186</v>
      </c>
      <c r="G121" s="57">
        <f t="shared" ca="1" si="53"/>
        <v>0.28711989519338021</v>
      </c>
      <c r="H121" s="57">
        <f t="shared" ca="1" si="53"/>
        <v>0.1854884831711554</v>
      </c>
      <c r="I121" s="57">
        <f t="shared" ca="1" si="53"/>
        <v>0.12497945874616546</v>
      </c>
      <c r="J121" s="57">
        <f t="shared" ca="1" si="53"/>
        <v>8.7090159996812341E-2</v>
      </c>
      <c r="K121" s="57">
        <f t="shared" ca="1" si="53"/>
        <v>6.2461214536513029E-2</v>
      </c>
      <c r="L121" s="57">
        <f t="shared" ca="1" si="53"/>
        <v>4.5973744847298534E-2</v>
      </c>
      <c r="M121" s="57">
        <f t="shared" ca="1" si="53"/>
        <v>3.4666257120252605E-2</v>
      </c>
      <c r="N121" s="57">
        <f t="shared" ca="1" si="53"/>
        <v>2.6751253585239131E-2</v>
      </c>
      <c r="O121" s="57">
        <f t="shared" ca="1" si="53"/>
        <v>2.1113429441477056E-2</v>
      </c>
      <c r="P121" s="57">
        <f t="shared" ca="1" si="53"/>
        <v>1.7037984243056192E-2</v>
      </c>
      <c r="Q121" s="57">
        <f t="shared" ca="1" si="53"/>
        <v>1.4056568297573485E-2</v>
      </c>
      <c r="R121" s="57">
        <f t="shared" ca="1" si="53"/>
        <v>1.1611799909001816E-2</v>
      </c>
      <c r="S121" s="57">
        <f t="shared" ca="1" si="53"/>
        <v>9.6029391452932249E-3</v>
      </c>
      <c r="T121" s="57">
        <f t="shared" ca="1" si="53"/>
        <v>7.9493062300194425E-3</v>
      </c>
      <c r="U121" s="57">
        <f t="shared" ca="1" si="53"/>
        <v>6.585969884818927E-3</v>
      </c>
      <c r="V121" s="57">
        <f t="shared" ca="1" si="53"/>
        <v>5.4604491579757089E-3</v>
      </c>
      <c r="W121" s="57">
        <f t="shared" ca="1" si="53"/>
        <v>4.5301669786243434E-3</v>
      </c>
      <c r="X121" s="57">
        <f t="shared" ca="1" si="53"/>
        <v>3.7604676717594328E-3</v>
      </c>
      <c r="Y121" s="57">
        <f t="shared" ca="1" si="53"/>
        <v>3.123061976783862E-3</v>
      </c>
    </row>
    <row r="122" spans="2:34" hidden="1" outlineLevel="1" x14ac:dyDescent="0.2"/>
    <row r="123" spans="2:34" hidden="1" outlineLevel="1" x14ac:dyDescent="0.2">
      <c r="B123" t="s">
        <v>178</v>
      </c>
      <c r="D123" s="2">
        <f t="shared" ref="D123:Y123" si="54">D102</f>
        <v>100</v>
      </c>
      <c r="E123" s="2">
        <f t="shared" si="54"/>
        <v>105</v>
      </c>
      <c r="F123" s="2">
        <f t="shared" si="54"/>
        <v>110.25</v>
      </c>
      <c r="G123" s="2">
        <f t="shared" si="54"/>
        <v>115.7625</v>
      </c>
      <c r="H123" s="2">
        <f t="shared" si="54"/>
        <v>121.55062500000001</v>
      </c>
      <c r="I123" s="2">
        <f t="shared" si="54"/>
        <v>127.62815625000002</v>
      </c>
      <c r="J123" s="2">
        <f t="shared" si="54"/>
        <v>134.00956406250003</v>
      </c>
      <c r="K123" s="2">
        <f t="shared" si="54"/>
        <v>140.71004226562505</v>
      </c>
      <c r="L123" s="2">
        <f t="shared" si="54"/>
        <v>147.74554437890632</v>
      </c>
      <c r="M123" s="2">
        <f t="shared" si="54"/>
        <v>155.13282159785163</v>
      </c>
      <c r="N123" s="2">
        <f t="shared" si="54"/>
        <v>162.88946267774421</v>
      </c>
      <c r="O123" s="2">
        <f t="shared" si="54"/>
        <v>171.03393581163144</v>
      </c>
      <c r="P123" s="2">
        <f t="shared" si="54"/>
        <v>179.58563260221302</v>
      </c>
      <c r="Q123" s="2">
        <f t="shared" si="54"/>
        <v>188.56491423232367</v>
      </c>
      <c r="R123" s="2">
        <f t="shared" si="54"/>
        <v>197.99315994393987</v>
      </c>
      <c r="S123" s="2">
        <f t="shared" si="54"/>
        <v>207.89281794113688</v>
      </c>
      <c r="T123" s="2">
        <f t="shared" si="54"/>
        <v>218.28745883819374</v>
      </c>
      <c r="U123" s="2">
        <f t="shared" si="54"/>
        <v>229.20183178010345</v>
      </c>
      <c r="V123" s="2">
        <f t="shared" si="54"/>
        <v>240.66192336910862</v>
      </c>
      <c r="W123" s="2">
        <f t="shared" si="54"/>
        <v>252.69501953756406</v>
      </c>
      <c r="X123" s="2">
        <f t="shared" si="54"/>
        <v>265.32977051444226</v>
      </c>
      <c r="Y123" s="2">
        <f t="shared" si="54"/>
        <v>278.5962590401644</v>
      </c>
      <c r="AA123" s="12">
        <f>IFERROR((E123/D123)-1,"")</f>
        <v>5.0000000000000044E-2</v>
      </c>
      <c r="AB123" s="12">
        <f>IFERROR((J123/D123)^(1/6)-1,"")</f>
        <v>5.0000000000000044E-2</v>
      </c>
      <c r="AC123" s="12">
        <f>IFERROR((O123/D123)^(1/11)-1,"")</f>
        <v>5.0000000000000044E-2</v>
      </c>
      <c r="AD123" s="12">
        <f>IFERROR((T123/D123)^(1/16)-1,"")</f>
        <v>5.0000000000000044E-2</v>
      </c>
      <c r="AE123" s="12">
        <f>IFERROR((Y123/D123)^(1/21)-1,"")</f>
        <v>5.0000000000000044E-2</v>
      </c>
    </row>
    <row r="124" spans="2:34" hidden="1" outlineLevel="1" x14ac:dyDescent="0.2">
      <c r="B124" s="18" t="s">
        <v>179</v>
      </c>
      <c r="C124" s="18"/>
      <c r="D124" s="44">
        <f t="shared" ref="D124:Y124" si="55">$D$7</f>
        <v>10</v>
      </c>
      <c r="E124" s="44">
        <f t="shared" si="55"/>
        <v>10</v>
      </c>
      <c r="F124" s="44">
        <f t="shared" si="55"/>
        <v>10</v>
      </c>
      <c r="G124" s="44">
        <f t="shared" si="55"/>
        <v>10</v>
      </c>
      <c r="H124" s="44">
        <f t="shared" si="55"/>
        <v>10</v>
      </c>
      <c r="I124" s="44">
        <f t="shared" si="55"/>
        <v>10</v>
      </c>
      <c r="J124" s="44">
        <f t="shared" si="55"/>
        <v>10</v>
      </c>
      <c r="K124" s="44">
        <f t="shared" si="55"/>
        <v>10</v>
      </c>
      <c r="L124" s="44">
        <f t="shared" si="55"/>
        <v>10</v>
      </c>
      <c r="M124" s="44">
        <f t="shared" si="55"/>
        <v>10</v>
      </c>
      <c r="N124" s="44">
        <f t="shared" si="55"/>
        <v>10</v>
      </c>
      <c r="O124" s="44">
        <f t="shared" si="55"/>
        <v>10</v>
      </c>
      <c r="P124" s="44">
        <f t="shared" si="55"/>
        <v>10</v>
      </c>
      <c r="Q124" s="44">
        <f t="shared" si="55"/>
        <v>10</v>
      </c>
      <c r="R124" s="44">
        <f t="shared" si="55"/>
        <v>10</v>
      </c>
      <c r="S124" s="44">
        <f t="shared" si="55"/>
        <v>10</v>
      </c>
      <c r="T124" s="44">
        <f t="shared" si="55"/>
        <v>10</v>
      </c>
      <c r="U124" s="44">
        <f t="shared" si="55"/>
        <v>10</v>
      </c>
      <c r="V124" s="44">
        <f t="shared" si="55"/>
        <v>10</v>
      </c>
      <c r="W124" s="44">
        <f t="shared" si="55"/>
        <v>10</v>
      </c>
      <c r="X124" s="44">
        <f t="shared" si="55"/>
        <v>10</v>
      </c>
      <c r="Y124" s="44">
        <f t="shared" si="55"/>
        <v>10</v>
      </c>
    </row>
    <row r="125" spans="2:34" hidden="1" outlineLevel="1" x14ac:dyDescent="0.2">
      <c r="B125" s="52" t="s">
        <v>180</v>
      </c>
      <c r="C125" s="52"/>
      <c r="D125" s="53">
        <f>D123*D124</f>
        <v>1000</v>
      </c>
      <c r="E125" s="53">
        <f t="shared" ref="E125:Y125" si="56">E123*E124</f>
        <v>1050</v>
      </c>
      <c r="F125" s="53">
        <f t="shared" si="56"/>
        <v>1102.5</v>
      </c>
      <c r="G125" s="53">
        <f t="shared" si="56"/>
        <v>1157.625</v>
      </c>
      <c r="H125" s="53">
        <f t="shared" si="56"/>
        <v>1215.5062500000001</v>
      </c>
      <c r="I125" s="53">
        <f t="shared" si="56"/>
        <v>1276.2815625000003</v>
      </c>
      <c r="J125" s="53">
        <f t="shared" si="56"/>
        <v>1340.0956406250002</v>
      </c>
      <c r="K125" s="53">
        <f t="shared" si="56"/>
        <v>1407.1004226562504</v>
      </c>
      <c r="L125" s="53">
        <f t="shared" si="56"/>
        <v>1477.4554437890631</v>
      </c>
      <c r="M125" s="53">
        <f t="shared" si="56"/>
        <v>1551.3282159785163</v>
      </c>
      <c r="N125" s="53">
        <f t="shared" si="56"/>
        <v>1628.894626777442</v>
      </c>
      <c r="O125" s="53">
        <f t="shared" si="56"/>
        <v>1710.3393581163143</v>
      </c>
      <c r="P125" s="53">
        <f t="shared" si="56"/>
        <v>1795.8563260221304</v>
      </c>
      <c r="Q125" s="53">
        <f t="shared" si="56"/>
        <v>1885.6491423232367</v>
      </c>
      <c r="R125" s="53">
        <f t="shared" si="56"/>
        <v>1979.9315994393987</v>
      </c>
      <c r="S125" s="53">
        <f t="shared" si="56"/>
        <v>2078.928179411369</v>
      </c>
      <c r="T125" s="53">
        <f t="shared" si="56"/>
        <v>2182.8745883819374</v>
      </c>
      <c r="U125" s="53">
        <f t="shared" si="56"/>
        <v>2292.0183178010343</v>
      </c>
      <c r="V125" s="53">
        <f t="shared" si="56"/>
        <v>2406.6192336910863</v>
      </c>
      <c r="W125" s="53">
        <f t="shared" si="56"/>
        <v>2526.9501953756408</v>
      </c>
      <c r="X125" s="53">
        <f t="shared" si="56"/>
        <v>2653.2977051444227</v>
      </c>
      <c r="Y125" s="53">
        <f t="shared" si="56"/>
        <v>2785.9625904016439</v>
      </c>
      <c r="Z125" s="3"/>
      <c r="AA125" s="54">
        <f t="shared" ref="AA125:AA130" si="57">IFERROR((E125/D125)-1,"")</f>
        <v>5.0000000000000044E-2</v>
      </c>
      <c r="AB125" s="54">
        <f t="shared" ref="AB125:AB130" si="58">IFERROR((J125/D125)^(1/6)-1,"")</f>
        <v>5.0000000000000044E-2</v>
      </c>
      <c r="AC125" s="54">
        <f t="shared" ref="AC125:AC130" si="59">IFERROR((O125/D125)^(1/11)-1,"")</f>
        <v>5.0000000000000044E-2</v>
      </c>
      <c r="AD125" s="54">
        <f t="shared" ref="AD125:AD130" si="60">IFERROR((T125/D125)^(1/16)-1,"")</f>
        <v>5.0000000000000044E-2</v>
      </c>
      <c r="AE125" s="54">
        <f t="shared" ref="AE125:AE130" si="61">IFERROR((Y125/D125)^(1/21)-1,"")</f>
        <v>5.0000000000000044E-2</v>
      </c>
    </row>
    <row r="126" spans="2:34" hidden="1" outlineLevel="1" x14ac:dyDescent="0.2">
      <c r="B126" s="48" t="s">
        <v>181</v>
      </c>
      <c r="C126" s="48"/>
      <c r="D126" s="2">
        <f t="shared" ref="D126:Y126" ca="1" si="62">D115</f>
        <v>10</v>
      </c>
      <c r="E126" s="2">
        <f t="shared" ca="1" si="62"/>
        <v>10</v>
      </c>
      <c r="F126" s="2">
        <f t="shared" ca="1" si="62"/>
        <v>10</v>
      </c>
      <c r="G126" s="2">
        <f t="shared" ca="1" si="62"/>
        <v>10</v>
      </c>
      <c r="H126" s="2">
        <f t="shared" ca="1" si="62"/>
        <v>10</v>
      </c>
      <c r="I126" s="2">
        <f t="shared" ca="1" si="62"/>
        <v>10</v>
      </c>
      <c r="J126" s="2">
        <f t="shared" ca="1" si="62"/>
        <v>10</v>
      </c>
      <c r="K126" s="2">
        <f t="shared" ca="1" si="62"/>
        <v>10</v>
      </c>
      <c r="L126" s="2">
        <f t="shared" ca="1" si="62"/>
        <v>10</v>
      </c>
      <c r="M126" s="2">
        <f t="shared" ca="1" si="62"/>
        <v>10</v>
      </c>
      <c r="N126" s="2">
        <f t="shared" ca="1" si="62"/>
        <v>10</v>
      </c>
      <c r="O126" s="2">
        <f t="shared" ca="1" si="62"/>
        <v>10</v>
      </c>
      <c r="P126" s="2">
        <f t="shared" ca="1" si="62"/>
        <v>10</v>
      </c>
      <c r="Q126" s="2">
        <f t="shared" ca="1" si="62"/>
        <v>10</v>
      </c>
      <c r="R126" s="2">
        <f t="shared" ca="1" si="62"/>
        <v>10</v>
      </c>
      <c r="S126" s="2">
        <f t="shared" ca="1" si="62"/>
        <v>10</v>
      </c>
      <c r="T126" s="2">
        <f t="shared" ca="1" si="62"/>
        <v>10</v>
      </c>
      <c r="U126" s="2">
        <f t="shared" ca="1" si="62"/>
        <v>10</v>
      </c>
      <c r="V126" s="2">
        <f t="shared" ca="1" si="62"/>
        <v>10</v>
      </c>
      <c r="W126" s="2">
        <f t="shared" ca="1" si="62"/>
        <v>10</v>
      </c>
      <c r="X126" s="2">
        <f t="shared" ca="1" si="62"/>
        <v>10</v>
      </c>
      <c r="Y126" s="2">
        <f t="shared" ca="1" si="62"/>
        <v>10</v>
      </c>
      <c r="AA126" s="12">
        <f t="shared" ca="1" si="57"/>
        <v>0</v>
      </c>
      <c r="AB126" s="12">
        <f t="shared" ca="1" si="58"/>
        <v>0</v>
      </c>
      <c r="AC126" s="12">
        <f t="shared" ca="1" si="59"/>
        <v>0</v>
      </c>
      <c r="AD126" s="12">
        <f t="shared" ca="1" si="60"/>
        <v>0</v>
      </c>
      <c r="AE126" s="12">
        <f t="shared" ca="1" si="61"/>
        <v>0</v>
      </c>
    </row>
    <row r="127" spans="2:34" hidden="1" outlineLevel="1" x14ac:dyDescent="0.2">
      <c r="B127" s="48" t="s">
        <v>182</v>
      </c>
      <c r="C127" s="48"/>
      <c r="D127" s="2">
        <f t="shared" ref="D127:Y127" ca="1" si="63">-D120</f>
        <v>-200</v>
      </c>
      <c r="E127" s="2">
        <f t="shared" ca="1" si="63"/>
        <v>-200</v>
      </c>
      <c r="F127" s="2">
        <f t="shared" ca="1" si="63"/>
        <v>-200</v>
      </c>
      <c r="G127" s="2">
        <f t="shared" ca="1" si="63"/>
        <v>-200</v>
      </c>
      <c r="H127" s="2">
        <f t="shared" ca="1" si="63"/>
        <v>-200</v>
      </c>
      <c r="I127" s="2">
        <f t="shared" ca="1" si="63"/>
        <v>-200</v>
      </c>
      <c r="J127" s="2">
        <f t="shared" ca="1" si="63"/>
        <v>-200</v>
      </c>
      <c r="K127" s="2">
        <f t="shared" ca="1" si="63"/>
        <v>-200</v>
      </c>
      <c r="L127" s="2">
        <f t="shared" ca="1" si="63"/>
        <v>-200</v>
      </c>
      <c r="M127" s="2">
        <f t="shared" ca="1" si="63"/>
        <v>-200</v>
      </c>
      <c r="N127" s="2">
        <f t="shared" ca="1" si="63"/>
        <v>-200</v>
      </c>
      <c r="O127" s="2">
        <f t="shared" ca="1" si="63"/>
        <v>-200</v>
      </c>
      <c r="P127" s="2">
        <f t="shared" ca="1" si="63"/>
        <v>-200</v>
      </c>
      <c r="Q127" s="2">
        <f t="shared" ca="1" si="63"/>
        <v>-200</v>
      </c>
      <c r="R127" s="2">
        <f t="shared" ca="1" si="63"/>
        <v>-200</v>
      </c>
      <c r="S127" s="2">
        <f t="shared" ca="1" si="63"/>
        <v>-200</v>
      </c>
      <c r="T127" s="2">
        <f t="shared" ca="1" si="63"/>
        <v>-200</v>
      </c>
      <c r="U127" s="2">
        <f t="shared" ca="1" si="63"/>
        <v>-200</v>
      </c>
      <c r="V127" s="2">
        <f t="shared" ca="1" si="63"/>
        <v>-200</v>
      </c>
      <c r="W127" s="2">
        <f t="shared" ca="1" si="63"/>
        <v>-200</v>
      </c>
      <c r="X127" s="2">
        <f t="shared" ca="1" si="63"/>
        <v>-200</v>
      </c>
      <c r="Y127" s="2">
        <f t="shared" ca="1" si="63"/>
        <v>-200</v>
      </c>
      <c r="AA127" s="12">
        <f t="shared" ca="1" si="57"/>
        <v>0</v>
      </c>
      <c r="AB127" s="12">
        <f t="shared" ca="1" si="58"/>
        <v>0</v>
      </c>
      <c r="AC127" s="12">
        <f t="shared" ca="1" si="59"/>
        <v>0</v>
      </c>
      <c r="AD127" s="12">
        <f t="shared" ca="1" si="60"/>
        <v>0</v>
      </c>
      <c r="AE127" s="12">
        <f t="shared" ca="1" si="61"/>
        <v>0</v>
      </c>
    </row>
    <row r="128" spans="2:34" hidden="1" outlineLevel="1" x14ac:dyDescent="0.2">
      <c r="B128" s="48" t="s">
        <v>183</v>
      </c>
      <c r="C128" s="48"/>
      <c r="D128" s="2">
        <f t="shared" ref="D128:Y128" ca="1" si="64">D117</f>
        <v>104.28800000000001</v>
      </c>
      <c r="E128" s="2">
        <f t="shared" ca="1" si="64"/>
        <v>224.52800000000002</v>
      </c>
      <c r="F128" s="2">
        <f t="shared" ca="1" si="64"/>
        <v>403.47480000000002</v>
      </c>
      <c r="G128" s="2">
        <f t="shared" ca="1" si="64"/>
        <v>661.74446</v>
      </c>
      <c r="H128" s="2">
        <f t="shared" ca="1" si="64"/>
        <v>1024.3223555</v>
      </c>
      <c r="I128" s="2">
        <f t="shared" ca="1" si="64"/>
        <v>1520.2498226999999</v>
      </c>
      <c r="J128" s="2">
        <f t="shared" ca="1" si="64"/>
        <v>2181.6471574625002</v>
      </c>
      <c r="K128" s="2">
        <f t="shared" ca="1" si="64"/>
        <v>3041.8876963868747</v>
      </c>
      <c r="L128" s="2">
        <f t="shared" ca="1" si="64"/>
        <v>4132.7936332157333</v>
      </c>
      <c r="M128" s="2">
        <f t="shared" ca="1" si="64"/>
        <v>5480.833980458734</v>
      </c>
      <c r="N128" s="2">
        <f t="shared" ca="1" si="64"/>
        <v>7102.4708952270803</v>
      </c>
      <c r="O128" s="2">
        <f t="shared" ca="1" si="64"/>
        <v>8999.0117676831542</v>
      </c>
      <c r="P128" s="2">
        <f t="shared" ca="1" si="64"/>
        <v>11151.553921493633</v>
      </c>
      <c r="Q128" s="2">
        <f t="shared" ca="1" si="64"/>
        <v>13516.812637178218</v>
      </c>
      <c r="R128" s="2">
        <f t="shared" ca="1" si="64"/>
        <v>16362.665692569013</v>
      </c>
      <c r="S128" s="2">
        <f t="shared" ca="1" si="64"/>
        <v>19785.609085435724</v>
      </c>
      <c r="T128" s="2">
        <f t="shared" ca="1" si="64"/>
        <v>23901.456869593421</v>
      </c>
      <c r="U128" s="2">
        <f t="shared" ca="1" si="64"/>
        <v>28849.205708936188</v>
      </c>
      <c r="V128" s="2">
        <f t="shared" ca="1" si="64"/>
        <v>34795.672389418709</v>
      </c>
      <c r="W128" s="2">
        <f t="shared" ca="1" si="64"/>
        <v>41941.058882932499</v>
      </c>
      <c r="X128" s="2">
        <f t="shared" ca="1" si="64"/>
        <v>50525.630475930549</v>
      </c>
      <c r="Y128" s="2">
        <f t="shared" ca="1" si="64"/>
        <v>60837.729578348786</v>
      </c>
      <c r="AA128" s="12">
        <f t="shared" ca="1" si="57"/>
        <v>1.1529610309911016</v>
      </c>
      <c r="AB128" s="12">
        <f t="shared" ca="1" si="58"/>
        <v>0.65993734460156683</v>
      </c>
      <c r="AC128" s="12">
        <f t="shared" ca="1" si="59"/>
        <v>0.49967242961635772</v>
      </c>
      <c r="AD128" s="12">
        <f t="shared" ca="1" si="60"/>
        <v>0.40446809269432693</v>
      </c>
      <c r="AE128" s="12">
        <f t="shared" ca="1" si="61"/>
        <v>0.35428904284469964</v>
      </c>
    </row>
    <row r="129" spans="2:31" hidden="1" outlineLevel="1" x14ac:dyDescent="0.2">
      <c r="B129" s="48" t="s">
        <v>156</v>
      </c>
      <c r="C129" s="48"/>
      <c r="D129" s="2">
        <f t="shared" ref="D129:Y129" ca="1" si="65">MAX(SUM(D126:D128)*$V$14,0)</f>
        <v>0</v>
      </c>
      <c r="E129" s="2">
        <f t="shared" ca="1" si="65"/>
        <v>0</v>
      </c>
      <c r="F129" s="2">
        <f t="shared" ca="1" si="65"/>
        <v>0</v>
      </c>
      <c r="G129" s="2">
        <f t="shared" ca="1" si="65"/>
        <v>0</v>
      </c>
      <c r="H129" s="2">
        <f t="shared" ca="1" si="65"/>
        <v>0</v>
      </c>
      <c r="I129" s="2">
        <f t="shared" ca="1" si="65"/>
        <v>0</v>
      </c>
      <c r="J129" s="2">
        <f t="shared" ca="1" si="65"/>
        <v>0</v>
      </c>
      <c r="K129" s="2">
        <f t="shared" ca="1" si="65"/>
        <v>0</v>
      </c>
      <c r="L129" s="2">
        <f t="shared" ca="1" si="65"/>
        <v>0</v>
      </c>
      <c r="M129" s="2">
        <f t="shared" ca="1" si="65"/>
        <v>0</v>
      </c>
      <c r="N129" s="2">
        <f t="shared" ca="1" si="65"/>
        <v>0</v>
      </c>
      <c r="O129" s="2">
        <f t="shared" ca="1" si="65"/>
        <v>0</v>
      </c>
      <c r="P129" s="2">
        <f t="shared" ca="1" si="65"/>
        <v>0</v>
      </c>
      <c r="Q129" s="2">
        <f t="shared" ca="1" si="65"/>
        <v>0</v>
      </c>
      <c r="R129" s="2">
        <f t="shared" ca="1" si="65"/>
        <v>0</v>
      </c>
      <c r="S129" s="2">
        <f t="shared" ca="1" si="65"/>
        <v>0</v>
      </c>
      <c r="T129" s="2">
        <f t="shared" ca="1" si="65"/>
        <v>0</v>
      </c>
      <c r="U129" s="2">
        <f t="shared" ca="1" si="65"/>
        <v>0</v>
      </c>
      <c r="V129" s="2">
        <f t="shared" ca="1" si="65"/>
        <v>0</v>
      </c>
      <c r="W129" s="2">
        <f t="shared" ca="1" si="65"/>
        <v>0</v>
      </c>
      <c r="X129" s="2">
        <f t="shared" ca="1" si="65"/>
        <v>0</v>
      </c>
      <c r="Y129" s="2">
        <f t="shared" ca="1" si="65"/>
        <v>0</v>
      </c>
      <c r="AA129" s="12" t="str">
        <f t="shared" ca="1" si="57"/>
        <v/>
      </c>
      <c r="AB129" s="12" t="str">
        <f t="shared" ca="1" si="58"/>
        <v/>
      </c>
      <c r="AC129" s="12" t="str">
        <f t="shared" ca="1" si="59"/>
        <v/>
      </c>
      <c r="AD129" s="12" t="str">
        <f t="shared" ca="1" si="60"/>
        <v/>
      </c>
      <c r="AE129" s="12" t="str">
        <f t="shared" ca="1" si="61"/>
        <v/>
      </c>
    </row>
    <row r="130" spans="2:31" hidden="1" outlineLevel="1" x14ac:dyDescent="0.2">
      <c r="B130" s="52" t="s">
        <v>157</v>
      </c>
      <c r="C130" s="52"/>
      <c r="D130" s="53">
        <f ca="1">SUM(D125:D129)</f>
        <v>914.28800000000001</v>
      </c>
      <c r="E130" s="53">
        <f t="shared" ref="E130:Y130" ca="1" si="66">SUM(E125:E129)</f>
        <v>1084.528</v>
      </c>
      <c r="F130" s="53">
        <f t="shared" ca="1" si="66"/>
        <v>1315.9748</v>
      </c>
      <c r="G130" s="53">
        <f t="shared" ca="1" si="66"/>
        <v>1629.3694599999999</v>
      </c>
      <c r="H130" s="53">
        <f t="shared" ca="1" si="66"/>
        <v>2049.8286054999999</v>
      </c>
      <c r="I130" s="53">
        <f t="shared" ca="1" si="66"/>
        <v>2606.5313851999999</v>
      </c>
      <c r="J130" s="53">
        <f t="shared" ca="1" si="66"/>
        <v>3331.7427980875004</v>
      </c>
      <c r="K130" s="53">
        <f t="shared" ca="1" si="66"/>
        <v>4258.9881190431252</v>
      </c>
      <c r="L130" s="53">
        <f t="shared" ca="1" si="66"/>
        <v>5420.2490770047962</v>
      </c>
      <c r="M130" s="53">
        <f t="shared" ca="1" si="66"/>
        <v>6842.1621964372498</v>
      </c>
      <c r="N130" s="53">
        <f t="shared" ca="1" si="66"/>
        <v>8541.3655220045221</v>
      </c>
      <c r="O130" s="53">
        <f t="shared" ca="1" si="66"/>
        <v>10519.351125799469</v>
      </c>
      <c r="P130" s="53">
        <f t="shared" ca="1" si="66"/>
        <v>12757.410247515763</v>
      </c>
      <c r="Q130" s="53">
        <f t="shared" ca="1" si="66"/>
        <v>15212.461779501455</v>
      </c>
      <c r="R130" s="53">
        <f t="shared" ca="1" si="66"/>
        <v>18152.597292008413</v>
      </c>
      <c r="S130" s="53">
        <f t="shared" ca="1" si="66"/>
        <v>21674.537264847095</v>
      </c>
      <c r="T130" s="53">
        <f t="shared" ca="1" si="66"/>
        <v>25894.331457975357</v>
      </c>
      <c r="U130" s="53">
        <f t="shared" ca="1" si="66"/>
        <v>30951.224026737222</v>
      </c>
      <c r="V130" s="53">
        <f t="shared" ca="1" si="66"/>
        <v>37012.291623109792</v>
      </c>
      <c r="W130" s="53">
        <f t="shared" ca="1" si="66"/>
        <v>44278.00907830814</v>
      </c>
      <c r="X130" s="53">
        <f t="shared" ca="1" si="66"/>
        <v>52988.928181074974</v>
      </c>
      <c r="Y130" s="53">
        <f t="shared" ca="1" si="66"/>
        <v>63433.692168750429</v>
      </c>
      <c r="Z130" s="3"/>
      <c r="AA130" s="54">
        <f t="shared" ca="1" si="57"/>
        <v>0.18619953450116378</v>
      </c>
      <c r="AB130" s="54">
        <f t="shared" ca="1" si="58"/>
        <v>0.24050373053424812</v>
      </c>
      <c r="AC130" s="54">
        <f t="shared" ca="1" si="59"/>
        <v>0.24866515863596894</v>
      </c>
      <c r="AD130" s="54">
        <f t="shared" ca="1" si="60"/>
        <v>0.23241678670958965</v>
      </c>
      <c r="AE130" s="54">
        <f t="shared" ca="1" si="61"/>
        <v>0.22370842753449671</v>
      </c>
    </row>
    <row r="131" spans="2:31" hidden="1" outlineLevel="1" x14ac:dyDescent="0.2"/>
    <row r="132" spans="2:31" hidden="1" outlineLevel="1" x14ac:dyDescent="0.2">
      <c r="B132" s="48" t="s">
        <v>184</v>
      </c>
      <c r="C132" s="48"/>
      <c r="D132" s="37">
        <f>D9</f>
        <v>8500000</v>
      </c>
      <c r="E132" s="37">
        <f t="shared" ref="E132:X132" si="67">D133</f>
        <v>8500000</v>
      </c>
      <c r="F132" s="37">
        <f t="shared" si="67"/>
        <v>8500000</v>
      </c>
      <c r="G132" s="37">
        <f t="shared" si="67"/>
        <v>8500000</v>
      </c>
      <c r="H132" s="37">
        <f t="shared" si="67"/>
        <v>8500000</v>
      </c>
      <c r="I132" s="37">
        <f t="shared" si="67"/>
        <v>8500000</v>
      </c>
      <c r="J132" s="37">
        <f t="shared" si="67"/>
        <v>8500000</v>
      </c>
      <c r="K132" s="37">
        <f t="shared" si="67"/>
        <v>8500000</v>
      </c>
      <c r="L132" s="37">
        <f t="shared" si="67"/>
        <v>8500000</v>
      </c>
      <c r="M132" s="37">
        <f t="shared" si="67"/>
        <v>8500000</v>
      </c>
      <c r="N132" s="37">
        <f t="shared" si="67"/>
        <v>8500000</v>
      </c>
      <c r="O132" s="37">
        <f t="shared" si="67"/>
        <v>8500000</v>
      </c>
      <c r="P132" s="37">
        <f t="shared" si="67"/>
        <v>8500000</v>
      </c>
      <c r="Q132" s="37">
        <f t="shared" si="67"/>
        <v>8500000</v>
      </c>
      <c r="R132" s="37">
        <f t="shared" si="67"/>
        <v>8500000</v>
      </c>
      <c r="S132" s="37">
        <f t="shared" si="67"/>
        <v>8500000</v>
      </c>
      <c r="T132" s="37">
        <f t="shared" si="67"/>
        <v>8500000</v>
      </c>
      <c r="U132" s="37">
        <f>T133</f>
        <v>8500000</v>
      </c>
      <c r="V132" s="37">
        <f t="shared" si="67"/>
        <v>8500000</v>
      </c>
      <c r="W132" s="37">
        <f t="shared" si="67"/>
        <v>8500000</v>
      </c>
      <c r="X132" s="37">
        <f t="shared" si="67"/>
        <v>8500000</v>
      </c>
      <c r="Y132" s="37">
        <f>X133</f>
        <v>8500000</v>
      </c>
      <c r="AA132" s="12">
        <f>IFERROR((E132/D132)-1,"")</f>
        <v>0</v>
      </c>
      <c r="AB132" s="12">
        <f>IFERROR((J132/D132)^(1/6)-1,"")</f>
        <v>0</v>
      </c>
      <c r="AC132" s="12">
        <f>IFERROR((O132/D132)^(1/11)-1,"")</f>
        <v>0</v>
      </c>
      <c r="AD132" s="12">
        <f>IFERROR((T132/D132)^(1/16)-1,"")</f>
        <v>0</v>
      </c>
      <c r="AE132" s="12">
        <f>IFERROR((Y132/D132)^(1/21)-1,"")</f>
        <v>0</v>
      </c>
    </row>
    <row r="133" spans="2:31" hidden="1" outlineLevel="1" x14ac:dyDescent="0.2">
      <c r="B133" s="48" t="s">
        <v>185</v>
      </c>
      <c r="C133" s="48"/>
      <c r="D133" s="37">
        <f t="shared" ref="D133:Y133" si="68">D132+D108</f>
        <v>8500000</v>
      </c>
      <c r="E133" s="37">
        <f t="shared" si="68"/>
        <v>8500000</v>
      </c>
      <c r="F133" s="37">
        <f t="shared" si="68"/>
        <v>8500000</v>
      </c>
      <c r="G133" s="37">
        <f t="shared" si="68"/>
        <v>8500000</v>
      </c>
      <c r="H133" s="37">
        <f t="shared" si="68"/>
        <v>8500000</v>
      </c>
      <c r="I133" s="37">
        <f t="shared" si="68"/>
        <v>8500000</v>
      </c>
      <c r="J133" s="37">
        <f t="shared" si="68"/>
        <v>8500000</v>
      </c>
      <c r="K133" s="37">
        <f t="shared" si="68"/>
        <v>8500000</v>
      </c>
      <c r="L133" s="37">
        <f t="shared" si="68"/>
        <v>8500000</v>
      </c>
      <c r="M133" s="37">
        <f t="shared" si="68"/>
        <v>8500000</v>
      </c>
      <c r="N133" s="37">
        <f t="shared" si="68"/>
        <v>8500000</v>
      </c>
      <c r="O133" s="37">
        <f t="shared" si="68"/>
        <v>8500000</v>
      </c>
      <c r="P133" s="37">
        <f t="shared" si="68"/>
        <v>8500000</v>
      </c>
      <c r="Q133" s="37">
        <f t="shared" si="68"/>
        <v>8500000</v>
      </c>
      <c r="R133" s="37">
        <f t="shared" si="68"/>
        <v>8500000</v>
      </c>
      <c r="S133" s="37">
        <f t="shared" si="68"/>
        <v>8500000</v>
      </c>
      <c r="T133" s="37">
        <f t="shared" si="68"/>
        <v>8500000</v>
      </c>
      <c r="U133" s="37">
        <f t="shared" si="68"/>
        <v>8500000</v>
      </c>
      <c r="V133" s="37">
        <f t="shared" si="68"/>
        <v>8500000</v>
      </c>
      <c r="W133" s="37">
        <f t="shared" si="68"/>
        <v>8500000</v>
      </c>
      <c r="X133" s="37">
        <f t="shared" si="68"/>
        <v>8500000</v>
      </c>
      <c r="Y133" s="37">
        <f t="shared" si="68"/>
        <v>8500000</v>
      </c>
      <c r="AA133" s="12">
        <f>IFERROR((E133/D133)-1,"")</f>
        <v>0</v>
      </c>
      <c r="AB133" s="12">
        <f>IFERROR((J133/D133)^(1/6)-1,"")</f>
        <v>0</v>
      </c>
      <c r="AC133" s="12">
        <f>IFERROR((O133/D133)^(1/11)-1,"")</f>
        <v>0</v>
      </c>
      <c r="AD133" s="12">
        <f>IFERROR((T133/D133)^(1/16)-1,"")</f>
        <v>0</v>
      </c>
      <c r="AE133" s="12">
        <f>IFERROR((Y133/D133)^(1/21)-1,"")</f>
        <v>0</v>
      </c>
    </row>
    <row r="134" spans="2:31" hidden="1" outlineLevel="1" x14ac:dyDescent="0.2">
      <c r="B134" s="52" t="s">
        <v>186</v>
      </c>
      <c r="C134" s="52"/>
      <c r="D134" s="53">
        <f ca="1">D130*10^6/D133</f>
        <v>107.56329411764706</v>
      </c>
      <c r="E134" s="53">
        <f t="shared" ref="E134:Y134" ca="1" si="69">E130*10^6/E133</f>
        <v>127.59152941176471</v>
      </c>
      <c r="F134" s="53">
        <f t="shared" ca="1" si="69"/>
        <v>154.82056470588236</v>
      </c>
      <c r="G134" s="53">
        <f t="shared" ca="1" si="69"/>
        <v>191.69052470588235</v>
      </c>
      <c r="H134" s="53">
        <f t="shared" ca="1" si="69"/>
        <v>241.15630652941175</v>
      </c>
      <c r="I134" s="53">
        <f t="shared" ca="1" si="69"/>
        <v>306.6507512</v>
      </c>
      <c r="J134" s="53">
        <f t="shared" ca="1" si="69"/>
        <v>391.96974095147067</v>
      </c>
      <c r="K134" s="53">
        <f t="shared" ca="1" si="69"/>
        <v>501.05742576977946</v>
      </c>
      <c r="L134" s="53">
        <f t="shared" ca="1" si="69"/>
        <v>637.67636200056427</v>
      </c>
      <c r="M134" s="53">
        <f t="shared" ca="1" si="69"/>
        <v>804.96025840438233</v>
      </c>
      <c r="N134" s="53">
        <f t="shared" ca="1" si="69"/>
        <v>1004.8665320005321</v>
      </c>
      <c r="O134" s="53">
        <f t="shared" ca="1" si="69"/>
        <v>1237.5707206822904</v>
      </c>
      <c r="P134" s="53">
        <f t="shared" ca="1" si="69"/>
        <v>1500.871793825384</v>
      </c>
      <c r="Q134" s="53">
        <f t="shared" ca="1" si="69"/>
        <v>1789.7013858237005</v>
      </c>
      <c r="R134" s="53">
        <f t="shared" ca="1" si="69"/>
        <v>2135.5996814127543</v>
      </c>
      <c r="S134" s="53">
        <f t="shared" ca="1" si="69"/>
        <v>2549.9455605702465</v>
      </c>
      <c r="T134" s="53">
        <f t="shared" ca="1" si="69"/>
        <v>3046.391936232395</v>
      </c>
      <c r="U134" s="53">
        <f t="shared" ca="1" si="69"/>
        <v>3641.3204737337905</v>
      </c>
      <c r="V134" s="53">
        <f t="shared" ca="1" si="69"/>
        <v>4354.3872497776229</v>
      </c>
      <c r="W134" s="53">
        <f t="shared" ca="1" si="69"/>
        <v>5209.1775386244863</v>
      </c>
      <c r="X134" s="53">
        <f t="shared" ca="1" si="69"/>
        <v>6233.9915507147025</v>
      </c>
      <c r="Y134" s="53">
        <f t="shared" ca="1" si="69"/>
        <v>7462.7873139706389</v>
      </c>
      <c r="Z134" s="3"/>
      <c r="AA134" s="54">
        <f ca="1">IFERROR((E134/D134)-1,"")</f>
        <v>0.18619953450116378</v>
      </c>
      <c r="AB134" s="54">
        <f ca="1">IFERROR((J134/D134)^(1/6)-1,"")</f>
        <v>0.24050373053424812</v>
      </c>
      <c r="AC134" s="54">
        <f ca="1">IFERROR((O134/D134)^(1/11)-1,"")</f>
        <v>0.24866515863596894</v>
      </c>
      <c r="AD134" s="54">
        <f ca="1">IFERROR((T134/D134)^(1/16)-1,"")</f>
        <v>0.23241678670958965</v>
      </c>
      <c r="AE134" s="54">
        <f ca="1">IFERROR((Y134/D134)^(1/21)-1,"")</f>
        <v>0.22370842753449671</v>
      </c>
    </row>
    <row r="135" spans="2:31" hidden="1" outlineLevel="1" x14ac:dyDescent="0.2">
      <c r="B135" s="18" t="s">
        <v>187</v>
      </c>
      <c r="C135" s="18"/>
      <c r="E135" s="12">
        <f ca="1">E134/D134-1</f>
        <v>0.18619953450116378</v>
      </c>
      <c r="F135" s="12">
        <f t="shared" ref="F135:X135" ca="1" si="70">F134/E134-1</f>
        <v>0.21340786037797099</v>
      </c>
      <c r="G135" s="12">
        <f t="shared" ca="1" si="70"/>
        <v>0.23814639915597158</v>
      </c>
      <c r="H135" s="12">
        <f t="shared" ca="1" si="70"/>
        <v>0.25805021870239297</v>
      </c>
      <c r="I135" s="12">
        <f t="shared" ca="1" si="70"/>
        <v>0.2715850379911191</v>
      </c>
      <c r="J135" s="12">
        <f t="shared" ca="1" si="70"/>
        <v>0.27822853659283875</v>
      </c>
      <c r="K135" s="12">
        <f t="shared" ca="1" si="70"/>
        <v>0.27830639312490923</v>
      </c>
      <c r="L135" s="12">
        <f t="shared" ca="1" si="70"/>
        <v>0.27266123443015688</v>
      </c>
      <c r="M135" s="12">
        <f t="shared" ca="1" si="70"/>
        <v>0.26233353840967699</v>
      </c>
      <c r="N135" s="12">
        <f t="shared" ca="1" si="70"/>
        <v>0.2483430349622604</v>
      </c>
      <c r="O135" s="12">
        <f t="shared" ca="1" si="70"/>
        <v>0.2315772107749281</v>
      </c>
      <c r="P135" s="12">
        <f t="shared" ca="1" si="70"/>
        <v>0.21275638534655372</v>
      </c>
      <c r="Q135" s="12">
        <f t="shared" ca="1" si="70"/>
        <v>0.19244121529005165</v>
      </c>
      <c r="R135" s="12">
        <f t="shared" ca="1" si="70"/>
        <v>0.19327151352115424</v>
      </c>
      <c r="S135" s="12">
        <f t="shared" ca="1" si="70"/>
        <v>0.19401851515701285</v>
      </c>
      <c r="T135" s="12">
        <f t="shared" ca="1" si="70"/>
        <v>0.19468900957678792</v>
      </c>
      <c r="U135" s="12">
        <f ca="1">U134/T134-1</f>
        <v>0.19528955891249167</v>
      </c>
      <c r="V135" s="12">
        <f t="shared" ca="1" si="70"/>
        <v>0.19582642648112136</v>
      </c>
      <c r="W135" s="12">
        <f t="shared" ca="1" si="70"/>
        <v>0.19630552815221414</v>
      </c>
      <c r="X135" s="12">
        <f t="shared" ca="1" si="70"/>
        <v>0.19673240247458024</v>
      </c>
      <c r="Y135" s="12">
        <f ca="1">Y134/X134-1</f>
        <v>0.19711219581538564</v>
      </c>
    </row>
    <row r="136" spans="2:31" hidden="1" outlineLevel="1" x14ac:dyDescent="0.2">
      <c r="B136" s="18"/>
      <c r="C136" s="18"/>
      <c r="E136" s="12"/>
      <c r="F136" s="12"/>
      <c r="G136" s="12"/>
      <c r="H136" s="12"/>
      <c r="I136" s="12"/>
      <c r="J136" s="12"/>
      <c r="K136" s="12"/>
      <c r="L136" s="12"/>
      <c r="M136" s="12"/>
      <c r="N136" s="12"/>
      <c r="O136" s="12"/>
      <c r="P136" s="12"/>
      <c r="Q136" s="12"/>
      <c r="R136" s="12"/>
      <c r="S136" s="12"/>
      <c r="T136" s="12"/>
      <c r="U136" s="12"/>
      <c r="V136" s="12"/>
      <c r="W136" s="12"/>
      <c r="X136" s="12"/>
      <c r="Y136" s="12"/>
    </row>
    <row r="137" spans="2:31" hidden="1" outlineLevel="1" x14ac:dyDescent="0.2">
      <c r="B137" t="s">
        <v>188</v>
      </c>
      <c r="D137" s="2">
        <f t="shared" ref="D137:Y137" ca="1" si="71">-D109/D133*10^6*(1-$AE$6)</f>
        <v>1.1912188235294114</v>
      </c>
      <c r="E137" s="2">
        <f t="shared" ca="1" si="71"/>
        <v>1.2617788235294116</v>
      </c>
      <c r="F137" s="2">
        <f t="shared" ca="1" si="71"/>
        <v>1.3396023529411762</v>
      </c>
      <c r="G137" s="2">
        <f t="shared" ca="1" si="71"/>
        <v>1.4213170588235291</v>
      </c>
      <c r="H137" s="2">
        <f t="shared" ca="1" si="71"/>
        <v>1.5071174999999999</v>
      </c>
      <c r="I137" s="2">
        <f t="shared" ca="1" si="71"/>
        <v>1.597207963235294</v>
      </c>
      <c r="J137" s="2">
        <f t="shared" ca="1" si="71"/>
        <v>1.6918029496323532</v>
      </c>
      <c r="K137" s="2">
        <f t="shared" ca="1" si="71"/>
        <v>1.7911276853492653</v>
      </c>
      <c r="L137" s="2">
        <f t="shared" ca="1" si="71"/>
        <v>1.8954186578520229</v>
      </c>
      <c r="M137" s="2">
        <f t="shared" ca="1" si="71"/>
        <v>2.0049241789799179</v>
      </c>
      <c r="N137" s="2">
        <f t="shared" ca="1" si="71"/>
        <v>2.1199049761642077</v>
      </c>
      <c r="O137" s="2">
        <f t="shared" ca="1" si="71"/>
        <v>2.2406348132077127</v>
      </c>
      <c r="P137" s="2">
        <f t="shared" ca="1" si="71"/>
        <v>2.3674011421033927</v>
      </c>
      <c r="Q137" s="2">
        <f t="shared" ca="1" si="71"/>
        <v>2.5005057874438563</v>
      </c>
      <c r="R137" s="2">
        <f t="shared" ca="1" si="71"/>
        <v>2.6402656650513432</v>
      </c>
      <c r="S137" s="2">
        <f t="shared" ca="1" si="71"/>
        <v>2.787013536539205</v>
      </c>
      <c r="T137" s="2">
        <f t="shared" ca="1" si="71"/>
        <v>2.9410988016014596</v>
      </c>
      <c r="U137" s="2">
        <f t="shared" ca="1" si="71"/>
        <v>3.1028883299168268</v>
      </c>
      <c r="V137" s="2">
        <f t="shared" ca="1" si="71"/>
        <v>3.2727673346479622</v>
      </c>
      <c r="W137" s="2">
        <f t="shared" ca="1" si="71"/>
        <v>3.4511402896156547</v>
      </c>
      <c r="X137" s="2">
        <f t="shared" ca="1" si="71"/>
        <v>3.6384318923317318</v>
      </c>
      <c r="Y137" s="2">
        <f t="shared" ca="1" si="71"/>
        <v>3.8350880751836125</v>
      </c>
      <c r="AA137" s="12">
        <f ca="1">IFERROR((E137/D137)-1,"")</f>
        <v>5.9233449477352096E-2</v>
      </c>
      <c r="AB137" s="12">
        <f ca="1">IFERROR((J137/D137)^(1/6)-1,"")</f>
        <v>6.0212788302234088E-2</v>
      </c>
      <c r="AC137" s="12">
        <f ca="1">IFERROR((O137/D137)^(1/11)-1,"")</f>
        <v>5.9116158186934165E-2</v>
      </c>
      <c r="AD137" s="12">
        <f ca="1">IFERROR((T137/D137)^(1/16)-1,"")</f>
        <v>5.8113801569481316E-2</v>
      </c>
      <c r="AE137" s="12">
        <f ca="1">IFERROR((Y137/D137)^(1/21)-1,"")</f>
        <v>5.7256054108014043E-2</v>
      </c>
    </row>
    <row r="138" spans="2:31" hidden="1" outlineLevel="1" x14ac:dyDescent="0.2">
      <c r="B138" s="4" t="s">
        <v>189</v>
      </c>
      <c r="C138" s="4"/>
      <c r="D138" s="2"/>
      <c r="E138" s="2"/>
      <c r="F138" s="2"/>
      <c r="G138" s="2"/>
      <c r="H138" s="2"/>
      <c r="I138" s="2"/>
      <c r="J138" s="2"/>
      <c r="K138" s="2"/>
      <c r="L138" s="2"/>
      <c r="M138" s="2"/>
      <c r="N138" s="2"/>
      <c r="O138" s="2"/>
      <c r="P138" s="2"/>
      <c r="Q138" s="2"/>
      <c r="R138" s="2"/>
      <c r="S138" s="2"/>
      <c r="T138" s="2"/>
      <c r="U138" s="2"/>
      <c r="V138" s="2"/>
      <c r="W138" s="2"/>
      <c r="X138" s="2"/>
      <c r="Y138" s="2"/>
      <c r="AA138" s="12"/>
      <c r="AB138" s="12"/>
      <c r="AC138" s="12"/>
      <c r="AD138" s="12"/>
      <c r="AE138" s="12"/>
    </row>
    <row r="139" spans="2:31" hidden="1" outlineLevel="1" x14ac:dyDescent="0.2">
      <c r="B139" s="49" t="s">
        <v>190</v>
      </c>
      <c r="C139" s="49"/>
      <c r="D139" s="82">
        <v>1</v>
      </c>
      <c r="E139" s="82">
        <f t="shared" ref="E139:X139" ca="1" si="72">D141</f>
        <v>1.0110745848135381</v>
      </c>
      <c r="F139" s="82">
        <f t="shared" ca="1" si="72"/>
        <v>1.0210733089138613</v>
      </c>
      <c r="G139" s="82">
        <f t="shared" ca="1" si="72"/>
        <v>1.029908260586754</v>
      </c>
      <c r="H139" s="82">
        <f t="shared" ca="1" si="72"/>
        <v>1.0375446640137946</v>
      </c>
      <c r="I139" s="82">
        <f t="shared" ca="1" si="72"/>
        <v>1.0440288474161312</v>
      </c>
      <c r="J139" s="82">
        <f t="shared" ca="1" si="72"/>
        <v>1.0494667313359161</v>
      </c>
      <c r="K139" s="82">
        <f t="shared" ca="1" si="72"/>
        <v>1.0539963945372266</v>
      </c>
      <c r="L139" s="82">
        <f t="shared" ca="1" si="72"/>
        <v>1.0577641106220919</v>
      </c>
      <c r="M139" s="82">
        <f t="shared" ca="1" si="72"/>
        <v>1.0609081911468732</v>
      </c>
      <c r="N139" s="82">
        <f t="shared" ca="1" si="72"/>
        <v>1.0635506079145338</v>
      </c>
      <c r="O139" s="82">
        <f t="shared" ca="1" si="72"/>
        <v>1.0657943150679923</v>
      </c>
      <c r="P139" s="82">
        <f t="shared" ca="1" si="72"/>
        <v>1.067723946891169</v>
      </c>
      <c r="Q139" s="82">
        <f t="shared" ca="1" si="72"/>
        <v>1.0694081219830858</v>
      </c>
      <c r="R139" s="82">
        <f t="shared" ca="1" si="72"/>
        <v>1.0709022601780605</v>
      </c>
      <c r="S139" s="82">
        <f t="shared" ca="1" si="72"/>
        <v>1.0722262285663229</v>
      </c>
      <c r="T139" s="82">
        <f t="shared" ca="1" si="72"/>
        <v>1.0733981394727574</v>
      </c>
      <c r="U139" s="82">
        <f ca="1">T141</f>
        <v>1.0744344375091648</v>
      </c>
      <c r="V139" s="82">
        <f t="shared" ca="1" si="72"/>
        <v>1.0753499982518833</v>
      </c>
      <c r="W139" s="82">
        <f t="shared" ca="1" si="72"/>
        <v>1.0761582337499485</v>
      </c>
      <c r="X139" s="82">
        <f t="shared" ca="1" si="72"/>
        <v>1.0768712010103187</v>
      </c>
      <c r="Y139" s="82">
        <f ca="1">X141</f>
        <v>1.0774997104476214</v>
      </c>
      <c r="AA139" s="12"/>
      <c r="AB139" s="12"/>
      <c r="AC139" s="12"/>
      <c r="AD139" s="12"/>
      <c r="AE139" s="12">
        <f ca="1">IFERROR((Y139/D139)^(1/21)-1,"")</f>
        <v>3.5607661507017774E-3</v>
      </c>
    </row>
    <row r="140" spans="2:31" hidden="1" outlineLevel="1" x14ac:dyDescent="0.2">
      <c r="B140" s="49" t="s">
        <v>191</v>
      </c>
      <c r="C140" s="49"/>
      <c r="D140" s="82">
        <f t="shared" ref="D140:Y140" ca="1" si="73">D137/D134</f>
        <v>1.1074584813537963E-2</v>
      </c>
      <c r="E140" s="82">
        <f t="shared" ca="1" si="73"/>
        <v>9.8892052579555335E-3</v>
      </c>
      <c r="F140" s="82">
        <f t="shared" ca="1" si="73"/>
        <v>8.6526124968350441E-3</v>
      </c>
      <c r="G140" s="82">
        <f t="shared" ca="1" si="73"/>
        <v>7.4146443127760583E-3</v>
      </c>
      <c r="H140" s="82">
        <f t="shared" ca="1" si="73"/>
        <v>6.249546286761486E-3</v>
      </c>
      <c r="I140" s="82">
        <f t="shared" ca="1" si="73"/>
        <v>5.2085571516946412E-3</v>
      </c>
      <c r="J140" s="82">
        <f t="shared" ca="1" si="73"/>
        <v>4.316157021523285E-3</v>
      </c>
      <c r="K140" s="82">
        <f t="shared" ca="1" si="73"/>
        <v>3.5746954205848522E-3</v>
      </c>
      <c r="L140" s="82">
        <f t="shared" ca="1" si="73"/>
        <v>2.9723834389996499E-3</v>
      </c>
      <c r="M140" s="82">
        <f t="shared" ca="1" si="73"/>
        <v>2.4907120047816299E-3</v>
      </c>
      <c r="N140" s="82">
        <f t="shared" ca="1" si="73"/>
        <v>2.1096383536068305E-3</v>
      </c>
      <c r="O140" s="82">
        <f t="shared" ca="1" si="73"/>
        <v>1.8105105233682474E-3</v>
      </c>
      <c r="P140" s="82">
        <f t="shared" ca="1" si="73"/>
        <v>1.5773506783476959E-3</v>
      </c>
      <c r="Q140" s="82">
        <f t="shared" ca="1" si="73"/>
        <v>1.3971636873338017E-3</v>
      </c>
      <c r="R140" s="82">
        <f t="shared" ca="1" si="73"/>
        <v>1.2363111345403176E-3</v>
      </c>
      <c r="S140" s="82">
        <f t="shared" ca="1" si="73"/>
        <v>1.0929698185070049E-3</v>
      </c>
      <c r="T140" s="82">
        <f t="shared" ca="1" si="73"/>
        <v>9.6543677345694526E-4</v>
      </c>
      <c r="U140" s="82">
        <f t="shared" ca="1" si="73"/>
        <v>8.521327228128157E-4</v>
      </c>
      <c r="V140" s="82">
        <f t="shared" ca="1" si="73"/>
        <v>7.5160226845122726E-4</v>
      </c>
      <c r="W140" s="82">
        <f t="shared" ca="1" si="73"/>
        <v>6.6251155082092832E-4</v>
      </c>
      <c r="X140" s="82">
        <f t="shared" ca="1" si="73"/>
        <v>5.8364402048549451E-4</v>
      </c>
      <c r="Y140" s="82">
        <f t="shared" ca="1" si="73"/>
        <v>5.1389486445689971E-4</v>
      </c>
      <c r="AA140" s="12"/>
      <c r="AB140" s="12"/>
      <c r="AC140" s="12"/>
      <c r="AD140" s="12"/>
      <c r="AE140" s="12">
        <f ca="1">IFERROR((Y140/D140)^(1/21)-1,"")</f>
        <v>-0.13602290356196012</v>
      </c>
    </row>
    <row r="141" spans="2:31" hidden="1" outlineLevel="1" x14ac:dyDescent="0.2">
      <c r="B141" s="49" t="s">
        <v>192</v>
      </c>
      <c r="C141" s="49"/>
      <c r="D141" s="82">
        <f t="shared" ref="D141:Y141" ca="1" si="74">D139+D140*D139</f>
        <v>1.0110745848135381</v>
      </c>
      <c r="E141" s="82">
        <f t="shared" ca="1" si="74"/>
        <v>1.0210733089138613</v>
      </c>
      <c r="F141" s="82">
        <f t="shared" ca="1" si="74"/>
        <v>1.029908260586754</v>
      </c>
      <c r="G141" s="82">
        <f t="shared" ca="1" si="74"/>
        <v>1.0375446640137946</v>
      </c>
      <c r="H141" s="82">
        <f t="shared" ca="1" si="74"/>
        <v>1.0440288474161312</v>
      </c>
      <c r="I141" s="82">
        <f t="shared" ca="1" si="74"/>
        <v>1.0494667313359161</v>
      </c>
      <c r="J141" s="82">
        <f t="shared" ca="1" si="74"/>
        <v>1.0539963945372266</v>
      </c>
      <c r="K141" s="82">
        <f t="shared" ca="1" si="74"/>
        <v>1.0577641106220919</v>
      </c>
      <c r="L141" s="82">
        <f t="shared" ca="1" si="74"/>
        <v>1.0609081911468732</v>
      </c>
      <c r="M141" s="82">
        <f t="shared" ca="1" si="74"/>
        <v>1.0635506079145338</v>
      </c>
      <c r="N141" s="82">
        <f t="shared" ca="1" si="74"/>
        <v>1.0657943150679923</v>
      </c>
      <c r="O141" s="82">
        <f t="shared" ca="1" si="74"/>
        <v>1.067723946891169</v>
      </c>
      <c r="P141" s="82">
        <f t="shared" ca="1" si="74"/>
        <v>1.0694081219830858</v>
      </c>
      <c r="Q141" s="82">
        <f t="shared" ca="1" si="74"/>
        <v>1.0709022601780605</v>
      </c>
      <c r="R141" s="82">
        <f t="shared" ca="1" si="74"/>
        <v>1.0722262285663229</v>
      </c>
      <c r="S141" s="82">
        <f t="shared" ca="1" si="74"/>
        <v>1.0733981394727574</v>
      </c>
      <c r="T141" s="82">
        <f t="shared" ca="1" si="74"/>
        <v>1.0744344375091648</v>
      </c>
      <c r="U141" s="82">
        <f t="shared" ca="1" si="74"/>
        <v>1.0753499982518833</v>
      </c>
      <c r="V141" s="82">
        <f t="shared" ca="1" si="74"/>
        <v>1.0761582337499485</v>
      </c>
      <c r="W141" s="82">
        <f t="shared" ca="1" si="74"/>
        <v>1.0768712010103187</v>
      </c>
      <c r="X141" s="82">
        <f t="shared" ca="1" si="74"/>
        <v>1.0774997104476214</v>
      </c>
      <c r="Y141" s="82">
        <f t="shared" ca="1" si="74"/>
        <v>1.0780534320152741</v>
      </c>
      <c r="AA141" s="12"/>
      <c r="AB141" s="12"/>
      <c r="AC141" s="12"/>
      <c r="AD141" s="12"/>
      <c r="AE141" s="12">
        <f ca="1">IFERROR((Y141/D141)^(1/21)-1,"")</f>
        <v>3.0591136871098712E-3</v>
      </c>
    </row>
    <row r="142" spans="2:31" hidden="1" outlineLevel="1" x14ac:dyDescent="0.2"/>
    <row r="143" spans="2:31" hidden="1" outlineLevel="1" x14ac:dyDescent="0.2">
      <c r="B143" s="52" t="s">
        <v>193</v>
      </c>
      <c r="C143" s="52"/>
      <c r="D143" s="53">
        <f t="shared" ref="D143:Y143" ca="1" si="75">D141*D134</f>
        <v>108.75451294117649</v>
      </c>
      <c r="E143" s="53">
        <f t="shared" ca="1" si="75"/>
        <v>130.28030512585084</v>
      </c>
      <c r="F143" s="53">
        <f t="shared" ca="1" si="75"/>
        <v>159.45097849929431</v>
      </c>
      <c r="G143" s="53">
        <f t="shared" ca="1" si="75"/>
        <v>198.8874810505927</v>
      </c>
      <c r="H143" s="53">
        <f t="shared" ca="1" si="75"/>
        <v>251.77414075303298</v>
      </c>
      <c r="I143" s="53">
        <f t="shared" ca="1" si="75"/>
        <v>321.81976152356725</v>
      </c>
      <c r="J143" s="53">
        <f t="shared" ca="1" si="75"/>
        <v>413.13469373054079</v>
      </c>
      <c r="K143" s="53">
        <f t="shared" ca="1" si="75"/>
        <v>530.00056233996554</v>
      </c>
      <c r="L143" s="53">
        <f t="shared" ca="1" si="75"/>
        <v>676.51607574713728</v>
      </c>
      <c r="M143" s="53">
        <f t="shared" ca="1" si="75"/>
        <v>856.11597217302108</v>
      </c>
      <c r="N143" s="53">
        <f t="shared" ca="1" si="75"/>
        <v>1070.9810372082559</v>
      </c>
      <c r="O143" s="53">
        <f t="shared" ca="1" si="75"/>
        <v>1321.3838944438435</v>
      </c>
      <c r="P143" s="53">
        <f t="shared" ca="1" si="75"/>
        <v>1605.0444863721889</v>
      </c>
      <c r="Q143" s="53">
        <f t="shared" ca="1" si="75"/>
        <v>1916.5952591224079</v>
      </c>
      <c r="R143" s="53">
        <f t="shared" ca="1" si="75"/>
        <v>2289.845992128638</v>
      </c>
      <c r="S143" s="53">
        <f t="shared" ca="1" si="75"/>
        <v>2737.1068204729199</v>
      </c>
      <c r="T143" s="53">
        <f t="shared" ca="1" si="75"/>
        <v>3273.1484064383085</v>
      </c>
      <c r="U143" s="53">
        <f t="shared" ca="1" si="75"/>
        <v>3915.6939650641784</v>
      </c>
      <c r="V143" s="53">
        <f t="shared" ca="1" si="75"/>
        <v>4686.0096917839819</v>
      </c>
      <c r="W143" s="53">
        <f t="shared" ca="1" si="75"/>
        <v>5609.6132722945267</v>
      </c>
      <c r="X143" s="53">
        <f t="shared" ca="1" si="75"/>
        <v>6717.1240908280106</v>
      </c>
      <c r="Y143" s="53">
        <f t="shared" ca="1" si="75"/>
        <v>8045.2834762260964</v>
      </c>
      <c r="Z143" s="3"/>
      <c r="AA143" s="54">
        <f ca="1">IFERROR((E143/D143)-1,"")</f>
        <v>0.19793010517473708</v>
      </c>
      <c r="AB143" s="54">
        <f ca="1">IFERROR((J143/D143)^(1/6)-1,"")</f>
        <v>0.24912930326698746</v>
      </c>
      <c r="AC143" s="54">
        <f ca="1">IFERROR((O143/D143)^(1/11)-1,"")</f>
        <v>0.25486884856386927</v>
      </c>
      <c r="AD143" s="54">
        <f ca="1">IFERROR((T143/D143)^(1/16)-1,"")</f>
        <v>0.23710738817675758</v>
      </c>
      <c r="AE143" s="54">
        <f ca="1">IFERROR((Y143/D143)^(1/21)-1,"")</f>
        <v>0.22745189073419914</v>
      </c>
    </row>
    <row r="144" spans="2:31" hidden="1" outlineLevel="1" x14ac:dyDescent="0.2">
      <c r="E144" s="12">
        <f ca="1">E143/D143-1</f>
        <v>0.19793010517473708</v>
      </c>
      <c r="F144" s="12">
        <f t="shared" ref="F144" ca="1" si="76">F143/E143-1</f>
        <v>0.22390700839443523</v>
      </c>
      <c r="G144" s="12">
        <f t="shared" ref="G144" ca="1" si="77">G143/F143-1</f>
        <v>0.24732681431285752</v>
      </c>
      <c r="H144" s="12">
        <f t="shared" ref="H144" ca="1" si="78">H143/G143-1</f>
        <v>0.26591246177524397</v>
      </c>
      <c r="I144" s="12">
        <f t="shared" ref="I144" ca="1" si="79">I143/H143-1</f>
        <v>0.2782081613347358</v>
      </c>
      <c r="J144" s="12">
        <f t="shared" ref="J144" ca="1" si="80">J143/I143-1</f>
        <v>0.28374557166616521</v>
      </c>
      <c r="K144" s="12">
        <f t="shared" ref="K144" ca="1" si="81">K143/J143-1</f>
        <v>0.28287594913451719</v>
      </c>
      <c r="L144" s="12">
        <f t="shared" ref="L144" ca="1" si="82">L143/K143-1</f>
        <v>0.27644407160683393</v>
      </c>
      <c r="M144" s="12">
        <f t="shared" ref="M144" ca="1" si="83">M143/L143-1</f>
        <v>0.26547764770783244</v>
      </c>
      <c r="N144" s="12">
        <f t="shared" ref="N144" ca="1" si="84">N143/M143-1</f>
        <v>0.2509765873072749</v>
      </c>
      <c r="O144" s="12">
        <f t="shared" ref="O144" ca="1" si="85">O143/N143-1</f>
        <v>0.23380699427537666</v>
      </c>
      <c r="P144" s="12">
        <f t="shared" ref="P144" ca="1" si="86">P143/O143-1</f>
        <v>0.21466932745365042</v>
      </c>
      <c r="Q144" s="12">
        <f t="shared" ref="Q144" ca="1" si="87">Q143/P143-1</f>
        <v>0.1941072508553352</v>
      </c>
      <c r="R144" s="12">
        <f t="shared" ref="R144" ca="1" si="88">R143/Q143-1</f>
        <v>0.19474676837985005</v>
      </c>
      <c r="S144" s="12">
        <f t="shared" ref="S144" ca="1" si="89">S143/R143-1</f>
        <v>0.19532354135681795</v>
      </c>
      <c r="T144" s="12">
        <f t="shared" ref="T144" ca="1" si="90">T143/S143-1</f>
        <v>0.19584240627947835</v>
      </c>
      <c r="U144" s="12">
        <f ca="1">U143/T143-1</f>
        <v>0.19630810425887746</v>
      </c>
      <c r="V144" s="12">
        <f t="shared" ref="V144" ca="1" si="91">V143/U143-1</f>
        <v>0.19672521233593843</v>
      </c>
      <c r="W144" s="12">
        <f t="shared" ref="W144" ca="1" si="92">W143/V143-1</f>
        <v>0.19709809438292591</v>
      </c>
      <c r="X144" s="12">
        <f t="shared" ref="X144" ca="1" si="93">X143/W143-1</f>
        <v>0.19743086818540578</v>
      </c>
      <c r="Y144" s="12">
        <f ca="1">Y143/X143-1</f>
        <v>0.1977273856249937</v>
      </c>
    </row>
    <row r="145" collapsed="1" x14ac:dyDescent="0.2"/>
  </sheetData>
  <mergeCells count="9">
    <mergeCell ref="B101:AH101"/>
    <mergeCell ref="AA18:AE18"/>
    <mergeCell ref="B3:AH3"/>
    <mergeCell ref="B17:AH17"/>
    <mergeCell ref="B50:AN50"/>
    <mergeCell ref="B79:AN79"/>
    <mergeCell ref="AK4:AK5"/>
    <mergeCell ref="AL4:AL5"/>
    <mergeCell ref="AJ3:AP3"/>
  </mergeCells>
  <conditionalFormatting sqref="D10:T10">
    <cfRule type="expression" dxfId="4" priority="6">
      <formula>D10=$T$1</formula>
    </cfRule>
  </conditionalFormatting>
  <hyperlinks>
    <hyperlink ref="AJ1" location="SelectedCase" display="SelectedCase" xr:uid="{CFF31978-D005-4D6C-AF9A-4C088CC899AC}"/>
  </hyperlinks>
  <pageMargins left="0.7" right="0.7" top="0.75" bottom="0.75" header="0.3" footer="0.3"/>
  <pageSetup scale="40" orientation="portrait" r:id="rId1"/>
  <ignoredErrors>
    <ignoredError sqref="D32:Y32" 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1863F47-38E7-4B39-9C01-5E2A81D9848A}">
          <x14:formula1>
            <xm:f>Cover!$A$5:$E$5</xm:f>
          </x14:formula1>
          <xm:sqref>T1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95F9-C8CC-4F82-88E8-5839A2BB9571}">
  <sheetPr codeName="Sheet8">
    <tabColor theme="5" tint="0.79998168889431442"/>
    <pageSetUpPr fitToPage="1"/>
  </sheetPr>
  <dimension ref="A1:AS74"/>
  <sheetViews>
    <sheetView showGridLines="0" zoomScale="140" zoomScaleNormal="140" zoomScaleSheetLayoutView="100" workbookViewId="0">
      <pane ySplit="1" topLeftCell="A2" activePane="bottomLeft" state="frozen"/>
      <selection pane="bottomLeft"/>
    </sheetView>
  </sheetViews>
  <sheetFormatPr baseColWidth="10" defaultColWidth="8.83203125" defaultRowHeight="15" outlineLevelRow="1" outlineLevelCol="1" x14ac:dyDescent="0.2"/>
  <cols>
    <col min="1" max="1" width="0.83203125" customWidth="1"/>
    <col min="2" max="5" width="12.33203125" customWidth="1"/>
    <col min="6" max="9" width="8.5" hidden="1" customWidth="1" outlineLevel="1"/>
    <col min="10" max="10" width="12.33203125" customWidth="1" collapsed="1"/>
    <col min="11" max="12" width="8.5" hidden="1" customWidth="1" outlineLevel="1"/>
    <col min="13" max="14" width="9.6640625" hidden="1" customWidth="1" outlineLevel="1"/>
    <col min="15" max="15" width="12.33203125" customWidth="1" collapsed="1"/>
    <col min="16" max="19" width="9.6640625" hidden="1" customWidth="1" outlineLevel="1"/>
    <col min="20" max="20" width="12.33203125" customWidth="1" collapsed="1"/>
    <col min="21" max="22" width="9.6640625" hidden="1" customWidth="1" outlineLevel="1"/>
    <col min="23" max="24" width="10.83203125" hidden="1" customWidth="1" outlineLevel="1"/>
    <col min="25" max="25" width="12.33203125" bestFit="1" customWidth="1" collapsed="1"/>
    <col min="26" max="26" width="1.6640625" customWidth="1"/>
    <col min="27" max="27" width="10.83203125" hidden="1" customWidth="1" outlineLevel="1"/>
    <col min="28" max="30" width="11.33203125" hidden="1" customWidth="1" outlineLevel="1"/>
    <col min="31" max="31" width="11.33203125" bestFit="1" customWidth="1" collapsed="1"/>
    <col min="32" max="32" width="1.6640625" customWidth="1"/>
    <col min="33" max="34" width="8.83203125" customWidth="1"/>
    <col min="35" max="35" width="1.6640625" customWidth="1"/>
    <col min="36" max="45" width="8.83203125" customWidth="1"/>
    <col min="46" max="46" width="12.6640625" bestFit="1" customWidth="1"/>
    <col min="47" max="48" width="10" bestFit="1" customWidth="1"/>
    <col min="49" max="49" width="10.83203125" bestFit="1" customWidth="1"/>
    <col min="50" max="50" width="10.5" bestFit="1" customWidth="1"/>
    <col min="51" max="51" width="10.83203125" bestFit="1" customWidth="1"/>
    <col min="52" max="54" width="11.33203125" bestFit="1" customWidth="1"/>
    <col min="55" max="55" width="10.83203125" bestFit="1" customWidth="1"/>
    <col min="56" max="56" width="11.33203125" bestFit="1" customWidth="1"/>
    <col min="57" max="57" width="10.83203125" bestFit="1" customWidth="1"/>
    <col min="58" max="58" width="12.33203125" bestFit="1" customWidth="1"/>
    <col min="59" max="59" width="11.33203125" bestFit="1" customWidth="1"/>
    <col min="60" max="61" width="12.33203125" bestFit="1" customWidth="1"/>
    <col min="62" max="63" width="12.6640625" bestFit="1" customWidth="1"/>
  </cols>
  <sheetData>
    <row r="1" spans="1:45" ht="27" x14ac:dyDescent="0.35">
      <c r="A1" s="147"/>
      <c r="B1" s="267" t="s">
        <v>20</v>
      </c>
      <c r="C1" s="267"/>
      <c r="D1" s="292" t="s">
        <v>194</v>
      </c>
      <c r="E1" s="147"/>
      <c r="F1" s="200"/>
      <c r="G1" s="200"/>
      <c r="H1" s="200"/>
      <c r="I1" s="200"/>
      <c r="J1" s="201"/>
      <c r="K1" s="147"/>
      <c r="L1" s="147"/>
      <c r="M1" s="147"/>
      <c r="N1" s="147"/>
      <c r="O1" s="275" t="s">
        <v>85</v>
      </c>
      <c r="P1" s="147"/>
      <c r="Q1" s="147"/>
      <c r="R1" s="147"/>
      <c r="S1" s="147"/>
      <c r="T1" s="197" t="s">
        <v>7</v>
      </c>
      <c r="U1" s="147"/>
      <c r="V1" s="147"/>
      <c r="W1" s="147"/>
      <c r="X1" s="147"/>
      <c r="Y1" s="147"/>
      <c r="Z1" s="147"/>
      <c r="AA1" s="147"/>
      <c r="AB1" s="147"/>
      <c r="AC1" s="147"/>
      <c r="AD1" s="147"/>
      <c r="AE1" s="277" t="s">
        <v>86</v>
      </c>
      <c r="AF1" s="270"/>
      <c r="AG1" s="276" t="str">
        <f>SelectedCase</f>
        <v>Base</v>
      </c>
      <c r="AH1" s="147"/>
      <c r="AI1" s="147"/>
      <c r="AJ1" s="147"/>
      <c r="AK1" s="147"/>
      <c r="AL1" s="147"/>
      <c r="AM1" s="147"/>
      <c r="AN1" s="147"/>
      <c r="AO1" s="147"/>
      <c r="AP1" s="147"/>
      <c r="AQ1" s="147"/>
      <c r="AR1" s="147"/>
      <c r="AS1" s="147"/>
    </row>
    <row r="2" spans="1:45" ht="4" customHeight="1" x14ac:dyDescent="0.2"/>
    <row r="3" spans="1:45" ht="16" x14ac:dyDescent="0.2">
      <c r="B3" s="315" t="s">
        <v>21</v>
      </c>
      <c r="C3" s="315"/>
      <c r="D3" s="315"/>
      <c r="E3" s="315"/>
      <c r="F3" s="315"/>
      <c r="G3" s="315"/>
      <c r="H3" s="315"/>
      <c r="I3" s="315"/>
      <c r="J3" s="315"/>
      <c r="K3" s="315"/>
      <c r="L3" s="315"/>
      <c r="M3" s="315"/>
      <c r="N3" s="315"/>
      <c r="O3" s="315"/>
      <c r="P3" s="315"/>
      <c r="Q3" s="315"/>
      <c r="R3" s="315"/>
      <c r="S3" s="315"/>
      <c r="T3" s="315"/>
      <c r="U3" s="315"/>
      <c r="V3" s="315"/>
      <c r="W3" s="315"/>
      <c r="X3" s="315"/>
      <c r="Y3" s="315"/>
      <c r="Z3" s="315"/>
      <c r="AA3" s="315"/>
      <c r="AB3" s="315"/>
      <c r="AC3" s="315"/>
      <c r="AD3" s="315"/>
      <c r="AE3" s="315"/>
      <c r="AF3" s="315"/>
      <c r="AG3" s="315"/>
      <c r="AH3" s="315"/>
      <c r="AJ3" s="315" t="s">
        <v>87</v>
      </c>
      <c r="AK3" s="315"/>
      <c r="AL3" s="315"/>
      <c r="AM3" s="315"/>
      <c r="AN3" s="315"/>
    </row>
    <row r="4" spans="1:45" x14ac:dyDescent="0.2">
      <c r="B4" t="s">
        <v>88</v>
      </c>
      <c r="D4" s="184">
        <v>0</v>
      </c>
      <c r="J4" s="183" t="s">
        <v>89</v>
      </c>
      <c r="AJ4" s="185"/>
      <c r="AK4" s="318" t="s">
        <v>91</v>
      </c>
      <c r="AL4" s="318" t="s">
        <v>92</v>
      </c>
      <c r="AM4" s="318" t="s">
        <v>93</v>
      </c>
      <c r="AN4" s="319" t="s">
        <v>94</v>
      </c>
    </row>
    <row r="5" spans="1:45" x14ac:dyDescent="0.2">
      <c r="B5" t="s">
        <v>195</v>
      </c>
      <c r="D5" s="173">
        <v>1000</v>
      </c>
      <c r="J5" s="48" t="s">
        <v>42</v>
      </c>
      <c r="O5" s="104">
        <v>0.05</v>
      </c>
      <c r="AJ5" s="185" t="s">
        <v>35</v>
      </c>
      <c r="AK5" s="318"/>
      <c r="AL5" s="318"/>
      <c r="AM5" s="318"/>
      <c r="AN5" s="319"/>
    </row>
    <row r="6" spans="1:45" x14ac:dyDescent="0.2">
      <c r="B6" t="s">
        <v>122</v>
      </c>
      <c r="D6" s="173">
        <v>0</v>
      </c>
      <c r="J6" s="48" t="s">
        <v>46</v>
      </c>
      <c r="O6" s="104">
        <v>0.45</v>
      </c>
      <c r="AJ6" s="11">
        <v>2024</v>
      </c>
      <c r="AK6" s="229">
        <f>HLOOKUP($AJ6,$D$17:$Y$36,12)/10^3</f>
        <v>1</v>
      </c>
      <c r="AL6" s="229">
        <f>HLOOKUP($AJ6,$D$17:$Y$36,17)/10^3</f>
        <v>0</v>
      </c>
      <c r="AM6" s="229">
        <f t="shared" ref="AM6:AM27" si="0">HLOOKUP($AJ6,$D$17:$Y$36,20)/10^3</f>
        <v>1</v>
      </c>
      <c r="AN6" s="279">
        <f t="shared" ref="AN6:AN27" si="1">HLOOKUP($AJ6,$D$17:$Y$36,3)/10^3</f>
        <v>15.384615384615385</v>
      </c>
    </row>
    <row r="7" spans="1:45" x14ac:dyDescent="0.2">
      <c r="B7" t="s">
        <v>125</v>
      </c>
      <c r="D7" s="104">
        <v>7.0000000000000007E-2</v>
      </c>
      <c r="J7" s="48" t="s">
        <v>49</v>
      </c>
      <c r="O7" s="104">
        <v>0.3</v>
      </c>
      <c r="AJ7" s="188">
        <f t="shared" ref="AJ7:AJ11" si="2">AJ6+1</f>
        <v>2025</v>
      </c>
      <c r="AK7" s="230">
        <f t="shared" ref="AK7:AK27" ca="1" si="3">HLOOKUP($AJ7,$D$17:$Y$36,12)/10^3</f>
        <v>1.6666666666666667</v>
      </c>
      <c r="AL7" s="230">
        <f t="shared" ref="AL7:AL27" ca="1" si="4">HLOOKUP($AJ7,$D$17:$Y$36,17)/10^3</f>
        <v>-0.16666666666666669</v>
      </c>
      <c r="AM7" s="230">
        <f t="shared" ca="1" si="0"/>
        <v>1.6666666666666667</v>
      </c>
      <c r="AN7" s="280">
        <f t="shared" ca="1" si="1"/>
        <v>17.094017094017094</v>
      </c>
    </row>
    <row r="8" spans="1:45" x14ac:dyDescent="0.2">
      <c r="J8" s="48" t="s">
        <v>51</v>
      </c>
      <c r="O8" s="104">
        <v>0.2</v>
      </c>
      <c r="AJ8" s="11">
        <f t="shared" si="2"/>
        <v>2026</v>
      </c>
      <c r="AK8" s="229">
        <f t="shared" ca="1" si="3"/>
        <v>2.5333333333333337</v>
      </c>
      <c r="AL8" s="229">
        <f t="shared" ca="1" si="4"/>
        <v>-0.25333333333333335</v>
      </c>
      <c r="AM8" s="229">
        <f t="shared" ca="1" si="0"/>
        <v>2.3666666666666671</v>
      </c>
      <c r="AN8" s="279">
        <f t="shared" ca="1" si="1"/>
        <v>17.61552947993626</v>
      </c>
    </row>
    <row r="9" spans="1:45" ht="15" customHeight="1" x14ac:dyDescent="0.2">
      <c r="J9" s="227" t="s">
        <v>53</v>
      </c>
      <c r="O9" s="105">
        <v>0</v>
      </c>
      <c r="AJ9" s="11">
        <f t="shared" si="2"/>
        <v>2027</v>
      </c>
      <c r="AK9" s="229">
        <f t="shared" ca="1" si="3"/>
        <v>3.7802962962962967</v>
      </c>
      <c r="AL9" s="229">
        <f t="shared" ca="1" si="4"/>
        <v>-0.37802962962962966</v>
      </c>
      <c r="AM9" s="229">
        <f t="shared" ca="1" si="0"/>
        <v>3.5269629629629629</v>
      </c>
      <c r="AN9" s="279">
        <f t="shared" ca="1" si="1"/>
        <v>18.128472100807969</v>
      </c>
    </row>
    <row r="10" spans="1:45" ht="15" customHeight="1" x14ac:dyDescent="0.2">
      <c r="J10" s="49" t="s">
        <v>58</v>
      </c>
      <c r="O10" s="210">
        <f>SUM(O5:O9)</f>
        <v>1</v>
      </c>
      <c r="AJ10" s="11">
        <f t="shared" si="2"/>
        <v>2028</v>
      </c>
      <c r="AK10" s="229">
        <f t="shared" ca="1" si="3"/>
        <v>5.5360339094650195</v>
      </c>
      <c r="AL10" s="229">
        <f t="shared" ca="1" si="4"/>
        <v>-0.55360339094650202</v>
      </c>
      <c r="AM10" s="229">
        <f t="shared" ca="1" si="0"/>
        <v>5.1580042798353896</v>
      </c>
      <c r="AN10" s="279">
        <f t="shared" ca="1" si="1"/>
        <v>18.63027386266269</v>
      </c>
    </row>
    <row r="11" spans="1:45" x14ac:dyDescent="0.2">
      <c r="D11" s="35" t="s">
        <v>3</v>
      </c>
      <c r="E11" s="35" t="s">
        <v>4</v>
      </c>
      <c r="J11" s="35" t="s">
        <v>5</v>
      </c>
      <c r="O11" s="35" t="s">
        <v>6</v>
      </c>
      <c r="T11" s="35" t="s">
        <v>7</v>
      </c>
      <c r="V11" s="35" t="str">
        <f>T1</f>
        <v>Triple Maxi</v>
      </c>
      <c r="AJ11" s="11">
        <f t="shared" si="2"/>
        <v>2029</v>
      </c>
      <c r="AK11" s="229">
        <f t="shared" ca="1" si="3"/>
        <v>7.9534353832647451</v>
      </c>
      <c r="AL11" s="229">
        <f t="shared" ca="1" si="4"/>
        <v>-0.79534353832647453</v>
      </c>
      <c r="AM11" s="229">
        <f t="shared" ca="1" si="0"/>
        <v>7.3998319923182425</v>
      </c>
      <c r="AN11" s="279">
        <f t="shared" ca="1" si="1"/>
        <v>19.118209606684811</v>
      </c>
    </row>
    <row r="12" spans="1:45" x14ac:dyDescent="0.2">
      <c r="B12" t="s">
        <v>101</v>
      </c>
      <c r="D12" s="104">
        <v>0</v>
      </c>
      <c r="E12" s="104">
        <v>0.1</v>
      </c>
      <c r="F12" s="104"/>
      <c r="G12" s="104"/>
      <c r="H12" s="104"/>
      <c r="I12" s="104"/>
      <c r="J12" s="104">
        <v>0.5</v>
      </c>
      <c r="K12" s="104"/>
      <c r="L12" s="104"/>
      <c r="M12" s="104"/>
      <c r="N12" s="104"/>
      <c r="O12" s="104">
        <v>1</v>
      </c>
      <c r="P12" s="104"/>
      <c r="Q12" s="104"/>
      <c r="R12" s="104"/>
      <c r="S12" s="104"/>
      <c r="T12" s="104">
        <v>1</v>
      </c>
      <c r="V12" s="19">
        <f>INDEX($B$11:$T$13,MATCH(B12,$B$11:$B$13,0),MATCH($V$11,$B$11:$T$11,0))</f>
        <v>1</v>
      </c>
      <c r="AJ12" s="188">
        <f t="shared" ref="AJ12:AJ27" si="5">AJ11+1</f>
        <v>2030</v>
      </c>
      <c r="AK12" s="230">
        <f t="shared" ca="1" si="3"/>
        <v>11.205506739977441</v>
      </c>
      <c r="AL12" s="230">
        <f t="shared" ca="1" si="4"/>
        <v>-1.120550673997744</v>
      </c>
      <c r="AM12" s="230">
        <f t="shared" ca="1" si="0"/>
        <v>10.410163201650967</v>
      </c>
      <c r="AN12" s="280">
        <f t="shared" ca="1" si="1"/>
        <v>19.589405883859673</v>
      </c>
    </row>
    <row r="13" spans="1:45" x14ac:dyDescent="0.2">
      <c r="B13" t="s">
        <v>136</v>
      </c>
      <c r="D13" s="104">
        <v>0</v>
      </c>
      <c r="E13" s="104">
        <v>0</v>
      </c>
      <c r="F13" s="104"/>
      <c r="G13" s="104"/>
      <c r="H13" s="104"/>
      <c r="I13" s="104"/>
      <c r="J13" s="104">
        <v>0</v>
      </c>
      <c r="K13" s="104"/>
      <c r="L13" s="104"/>
      <c r="M13" s="104"/>
      <c r="N13" s="104"/>
      <c r="O13" s="104">
        <v>0</v>
      </c>
      <c r="P13" s="104"/>
      <c r="Q13" s="104"/>
      <c r="R13" s="104"/>
      <c r="S13" s="104"/>
      <c r="T13" s="104">
        <v>0.1</v>
      </c>
      <c r="V13" s="19">
        <f>INDEX($B$11:$T$13,MATCH(B13,$B$11:$B$13,0),MATCH($V$11,$B$11:$T$11,0))</f>
        <v>0.1</v>
      </c>
      <c r="AJ13" s="11">
        <f t="shared" si="5"/>
        <v>2031</v>
      </c>
      <c r="AK13" s="229">
        <f t="shared" ca="1" si="3"/>
        <v>15.476049864213287</v>
      </c>
      <c r="AL13" s="229">
        <f t="shared" ca="1" si="4"/>
        <v>-1.5476049864213288</v>
      </c>
      <c r="AM13" s="229">
        <f t="shared" ca="1" si="0"/>
        <v>14.355499190215543</v>
      </c>
      <c r="AN13" s="279">
        <f t="shared" ca="1" si="1"/>
        <v>20.040848982417756</v>
      </c>
    </row>
    <row r="14" spans="1:45" x14ac:dyDescent="0.2">
      <c r="AJ14" s="11">
        <f t="shared" si="5"/>
        <v>2032</v>
      </c>
      <c r="AK14" s="229">
        <f t="shared" ca="1" si="3"/>
        <v>20.944254149568646</v>
      </c>
      <c r="AL14" s="229">
        <f t="shared" ca="1" si="4"/>
        <v>-2.0944254149568646</v>
      </c>
      <c r="AM14" s="229">
        <f t="shared" ca="1" si="0"/>
        <v>19.39664916314732</v>
      </c>
      <c r="AN14" s="279">
        <f t="shared" ca="1" si="1"/>
        <v>20.469395438645559</v>
      </c>
    </row>
    <row r="15" spans="1:45" ht="16" x14ac:dyDescent="0.2">
      <c r="B15" s="315" t="s">
        <v>55</v>
      </c>
      <c r="C15" s="315"/>
      <c r="D15" s="315"/>
      <c r="E15" s="315"/>
      <c r="F15" s="315"/>
      <c r="G15" s="315"/>
      <c r="H15" s="315"/>
      <c r="I15" s="315"/>
      <c r="J15" s="315"/>
      <c r="K15" s="315"/>
      <c r="L15" s="315"/>
      <c r="M15" s="315"/>
      <c r="N15" s="315"/>
      <c r="O15" s="315"/>
      <c r="P15" s="315"/>
      <c r="Q15" s="315"/>
      <c r="R15" s="315"/>
      <c r="S15" s="315"/>
      <c r="T15" s="315"/>
      <c r="U15" s="315"/>
      <c r="V15" s="315"/>
      <c r="W15" s="315"/>
      <c r="X15" s="315"/>
      <c r="Y15" s="315"/>
      <c r="Z15" s="315"/>
      <c r="AA15" s="315"/>
      <c r="AB15" s="315"/>
      <c r="AC15" s="315"/>
      <c r="AD15" s="315"/>
      <c r="AE15" s="315"/>
      <c r="AF15" s="315"/>
      <c r="AG15" s="315"/>
      <c r="AH15" s="315"/>
      <c r="AJ15" s="11">
        <f t="shared" si="5"/>
        <v>2033</v>
      </c>
      <c r="AK15" s="229">
        <f t="shared" ca="1" si="3"/>
        <v>27.762772444928213</v>
      </c>
      <c r="AL15" s="229">
        <f t="shared" ca="1" si="4"/>
        <v>-2.7762772444928219</v>
      </c>
      <c r="AM15" s="229">
        <f t="shared" ca="1" si="0"/>
        <v>25.668347029971347</v>
      </c>
      <c r="AN15" s="279">
        <f t="shared" ca="1" si="1"/>
        <v>20.871785263507821</v>
      </c>
    </row>
    <row r="16" spans="1:45" x14ac:dyDescent="0.2">
      <c r="B16" s="127"/>
      <c r="C16" s="211"/>
      <c r="D16" s="144" t="s">
        <v>35</v>
      </c>
      <c r="E16" s="145"/>
      <c r="F16" s="145"/>
      <c r="G16" s="145"/>
      <c r="H16" s="145"/>
      <c r="I16" s="145"/>
      <c r="J16" s="145"/>
      <c r="K16" s="145"/>
      <c r="L16" s="145"/>
      <c r="M16" s="145"/>
      <c r="N16" s="145"/>
      <c r="O16" s="145"/>
      <c r="P16" s="145"/>
      <c r="Q16" s="145"/>
      <c r="R16" s="145"/>
      <c r="S16" s="145"/>
      <c r="T16" s="145"/>
      <c r="U16" s="145"/>
      <c r="V16" s="145"/>
      <c r="W16" s="145"/>
      <c r="X16" s="145"/>
      <c r="Y16" s="145"/>
      <c r="AA16" s="316" t="s">
        <v>56</v>
      </c>
      <c r="AB16" s="316"/>
      <c r="AC16" s="316"/>
      <c r="AD16" s="316"/>
      <c r="AE16" s="316"/>
      <c r="AG16" s="316" t="s">
        <v>105</v>
      </c>
      <c r="AH16" s="316"/>
      <c r="AI16" s="10"/>
      <c r="AJ16" s="11">
        <f t="shared" si="5"/>
        <v>2034</v>
      </c>
      <c r="AK16" s="229">
        <f t="shared" ca="1" si="3"/>
        <v>36.029909128529063</v>
      </c>
      <c r="AL16" s="229">
        <f t="shared" ca="1" si="4"/>
        <v>-3.6029909128529072</v>
      </c>
      <c r="AM16" s="229">
        <f t="shared" ca="1" si="0"/>
        <v>33.253631884036245</v>
      </c>
      <c r="AN16" s="279">
        <f t="shared" ca="1" si="1"/>
        <v>21.244658115709932</v>
      </c>
    </row>
    <row r="17" spans="2:45" x14ac:dyDescent="0.2">
      <c r="B17" s="175" t="s">
        <v>137</v>
      </c>
      <c r="C17" s="175"/>
      <c r="D17" s="128">
        <f>Macro!C17</f>
        <v>2024</v>
      </c>
      <c r="E17" s="128">
        <f>Macro!D17</f>
        <v>2025</v>
      </c>
      <c r="F17" s="128">
        <f>Macro!E17</f>
        <v>2026</v>
      </c>
      <c r="G17" s="128">
        <f>Macro!F17</f>
        <v>2027</v>
      </c>
      <c r="H17" s="128">
        <f>Macro!G17</f>
        <v>2028</v>
      </c>
      <c r="I17" s="128">
        <f>Macro!H17</f>
        <v>2029</v>
      </c>
      <c r="J17" s="128">
        <f>Macro!I17</f>
        <v>2030</v>
      </c>
      <c r="K17" s="128">
        <f>Macro!J17</f>
        <v>2031</v>
      </c>
      <c r="L17" s="128">
        <f>Macro!K17</f>
        <v>2032</v>
      </c>
      <c r="M17" s="128">
        <f>Macro!L17</f>
        <v>2033</v>
      </c>
      <c r="N17" s="128">
        <f>Macro!M17</f>
        <v>2034</v>
      </c>
      <c r="O17" s="128">
        <f>Macro!N17</f>
        <v>2035</v>
      </c>
      <c r="P17" s="128">
        <f>Macro!O17</f>
        <v>2036</v>
      </c>
      <c r="Q17" s="128">
        <f>Macro!P17</f>
        <v>2037</v>
      </c>
      <c r="R17" s="128">
        <f>Macro!Q17</f>
        <v>2038</v>
      </c>
      <c r="S17" s="128">
        <f>Macro!R17</f>
        <v>2039</v>
      </c>
      <c r="T17" s="128">
        <f>Macro!S17</f>
        <v>2040</v>
      </c>
      <c r="U17" s="128">
        <f>Macro!T17</f>
        <v>2041</v>
      </c>
      <c r="V17" s="128">
        <f>Macro!U17</f>
        <v>2042</v>
      </c>
      <c r="W17" s="128">
        <f>Macro!V17</f>
        <v>2043</v>
      </c>
      <c r="X17" s="128">
        <f>Macro!W17</f>
        <v>2044</v>
      </c>
      <c r="Y17" s="128">
        <f>Macro!X17</f>
        <v>2045</v>
      </c>
      <c r="AA17" s="128" t="s">
        <v>59</v>
      </c>
      <c r="AB17" s="128" t="s">
        <v>60</v>
      </c>
      <c r="AC17" s="128" t="s">
        <v>61</v>
      </c>
      <c r="AD17" s="128" t="s">
        <v>62</v>
      </c>
      <c r="AE17" s="128" t="s">
        <v>63</v>
      </c>
      <c r="AG17" s="128">
        <f>D17</f>
        <v>2024</v>
      </c>
      <c r="AH17" s="128">
        <f>Y17</f>
        <v>2045</v>
      </c>
      <c r="AI17" s="10"/>
      <c r="AJ17" s="188">
        <f t="shared" si="5"/>
        <v>2035</v>
      </c>
      <c r="AK17" s="230">
        <f t="shared" ca="1" si="3"/>
        <v>45.757984593231896</v>
      </c>
      <c r="AL17" s="230">
        <f t="shared" ca="1" si="4"/>
        <v>-4.5757984593231891</v>
      </c>
      <c r="AM17" s="230">
        <f t="shared" ca="1" si="0"/>
        <v>42.154993680378979</v>
      </c>
      <c r="AN17" s="280">
        <f t="shared" ca="1" si="1"/>
        <v>21.584572645561298</v>
      </c>
      <c r="AO17" s="10"/>
      <c r="AP17" s="10"/>
      <c r="AQ17" s="10"/>
      <c r="AR17" s="10"/>
      <c r="AS17" s="10"/>
    </row>
    <row r="18" spans="2:45" x14ac:dyDescent="0.2">
      <c r="B18" s="48" t="s">
        <v>108</v>
      </c>
      <c r="D18" s="37">
        <f>D22/D20*10^3-D4</f>
        <v>15384.615384615385</v>
      </c>
      <c r="E18" s="37">
        <f t="shared" ref="E18:Y18" ca="1" si="6">-E31/E20*10^3</f>
        <v>1709.4017094017095</v>
      </c>
      <c r="F18" s="37">
        <f t="shared" ca="1" si="6"/>
        <v>521.51238591916569</v>
      </c>
      <c r="G18" s="37">
        <f t="shared" ca="1" si="6"/>
        <v>512.94262087170728</v>
      </c>
      <c r="H18" s="37">
        <f t="shared" ca="1" si="6"/>
        <v>501.80176185472334</v>
      </c>
      <c r="I18" s="37">
        <f t="shared" ca="1" si="6"/>
        <v>487.93574402211817</v>
      </c>
      <c r="J18" s="37">
        <f t="shared" ca="1" si="6"/>
        <v>471.19627717485815</v>
      </c>
      <c r="K18" s="37">
        <f t="shared" ca="1" si="6"/>
        <v>451.44309855808325</v>
      </c>
      <c r="L18" s="37">
        <f t="shared" ca="1" si="6"/>
        <v>428.54645622780072</v>
      </c>
      <c r="M18" s="37">
        <f t="shared" ca="1" si="6"/>
        <v>402.38982486226297</v>
      </c>
      <c r="N18" s="37">
        <f t="shared" ca="1" si="6"/>
        <v>372.87285220210106</v>
      </c>
      <c r="O18" s="37">
        <f t="shared" ca="1" si="6"/>
        <v>339.91452985135714</v>
      </c>
      <c r="P18" s="37">
        <f t="shared" ca="1" si="6"/>
        <v>303.4565768763668</v>
      </c>
      <c r="Q18" s="37">
        <f t="shared" ca="1" si="6"/>
        <v>263.46701841824148</v>
      </c>
      <c r="R18" s="37">
        <f t="shared" ca="1" si="6"/>
        <v>266.6383806770753</v>
      </c>
      <c r="S18" s="37">
        <f t="shared" ca="1" si="6"/>
        <v>269.8479167409813</v>
      </c>
      <c r="T18" s="37">
        <f t="shared" ca="1" si="6"/>
        <v>273.09608610895981</v>
      </c>
      <c r="U18" s="37">
        <f t="shared" ca="1" si="6"/>
        <v>276.38335380878942</v>
      </c>
      <c r="V18" s="37">
        <f t="shared" ca="1" si="6"/>
        <v>279.71019045856428</v>
      </c>
      <c r="W18" s="37">
        <f t="shared" ca="1" si="6"/>
        <v>283.07707232126091</v>
      </c>
      <c r="X18" s="37">
        <f t="shared" ca="1" si="6"/>
        <v>286.4844813411728</v>
      </c>
      <c r="Y18" s="37">
        <f t="shared" ca="1" si="6"/>
        <v>289.93290513878316</v>
      </c>
      <c r="AA18" s="12">
        <f t="shared" ref="AA18:AA20" ca="1" si="7">IFERROR((E18/D18)-1,"")</f>
        <v>-0.88888888888888884</v>
      </c>
      <c r="AB18" s="12">
        <f t="shared" ref="AB18:AB20" ca="1" si="8">IFERROR((J18/D18)^(1/6)-1,"")</f>
        <v>-0.44064713373034481</v>
      </c>
      <c r="AC18" s="12">
        <f t="shared" ref="AC18:AC20" ca="1" si="9">IFERROR((O18/D18)^(1/11)-1,"")</f>
        <v>-0.29290090642185462</v>
      </c>
      <c r="AD18" s="12">
        <f t="shared" ref="AD18:AD20" ca="1" si="10">IFERROR((T18/D18)^(1/16)-1,"")</f>
        <v>-0.22272123686262657</v>
      </c>
      <c r="AE18" s="12"/>
      <c r="AJ18" s="11">
        <f t="shared" si="5"/>
        <v>2036</v>
      </c>
      <c r="AK18" s="229">
        <f t="shared" ca="1" si="3"/>
        <v>56.841585305814647</v>
      </c>
      <c r="AL18" s="229">
        <f t="shared" ca="1" si="4"/>
        <v>-5.6841585305814633</v>
      </c>
      <c r="AM18" s="229">
        <f t="shared" ca="1" si="0"/>
        <v>52.265786846491451</v>
      </c>
      <c r="AN18" s="279">
        <f t="shared" ca="1" si="1"/>
        <v>21.888029222437538</v>
      </c>
    </row>
    <row r="19" spans="2:45" ht="15" customHeight="1" x14ac:dyDescent="0.2">
      <c r="B19" s="179" t="s">
        <v>109</v>
      </c>
      <c r="C19" s="179"/>
      <c r="D19" s="228">
        <f t="shared" ref="D19:Y19" si="11">D22/D20*10^3</f>
        <v>15384.615384615385</v>
      </c>
      <c r="E19" s="228">
        <f t="shared" ca="1" si="11"/>
        <v>17094.017094017094</v>
      </c>
      <c r="F19" s="228">
        <f t="shared" ca="1" si="11"/>
        <v>17615.52947993626</v>
      </c>
      <c r="G19" s="228">
        <f t="shared" ca="1" si="11"/>
        <v>18128.472100807969</v>
      </c>
      <c r="H19" s="228">
        <f t="shared" ca="1" si="11"/>
        <v>18630.273862662689</v>
      </c>
      <c r="I19" s="228">
        <f t="shared" ca="1" si="11"/>
        <v>19118.20960668481</v>
      </c>
      <c r="J19" s="228">
        <f t="shared" ca="1" si="11"/>
        <v>19589.405883859672</v>
      </c>
      <c r="K19" s="228">
        <f t="shared" ca="1" si="11"/>
        <v>20040.848982417756</v>
      </c>
      <c r="L19" s="228">
        <f t="shared" ca="1" si="11"/>
        <v>20469.395438645559</v>
      </c>
      <c r="M19" s="228">
        <f t="shared" ca="1" si="11"/>
        <v>20871.785263507823</v>
      </c>
      <c r="N19" s="228">
        <f t="shared" ca="1" si="11"/>
        <v>21244.658115709928</v>
      </c>
      <c r="O19" s="228">
        <f t="shared" ca="1" si="11"/>
        <v>21584.572645561286</v>
      </c>
      <c r="P19" s="228">
        <f t="shared" ca="1" si="11"/>
        <v>21888.029222437624</v>
      </c>
      <c r="Q19" s="228">
        <f t="shared" ca="1" si="11"/>
        <v>22151.496240855828</v>
      </c>
      <c r="R19" s="228">
        <f t="shared" ca="1" si="11"/>
        <v>22418.134621533136</v>
      </c>
      <c r="S19" s="228">
        <f t="shared" ca="1" si="11"/>
        <v>22687.982538275832</v>
      </c>
      <c r="T19" s="228">
        <f t="shared" ca="1" si="11"/>
        <v>22961.07862439099</v>
      </c>
      <c r="U19" s="228">
        <f t="shared" ca="1" si="11"/>
        <v>23237.461978214826</v>
      </c>
      <c r="V19" s="228">
        <f t="shared" ca="1" si="11"/>
        <v>23517.172168694913</v>
      </c>
      <c r="W19" s="228">
        <f t="shared" ca="1" si="11"/>
        <v>23800.249241003155</v>
      </c>
      <c r="X19" s="228">
        <f t="shared" ca="1" si="11"/>
        <v>24086.733722125769</v>
      </c>
      <c r="Y19" s="228">
        <f t="shared" ca="1" si="11"/>
        <v>24376.666626322425</v>
      </c>
      <c r="AA19" s="54">
        <f t="shared" ca="1" si="7"/>
        <v>0.11111111111111116</v>
      </c>
      <c r="AB19" s="54">
        <f t="shared" ca="1" si="8"/>
        <v>4.1091986319312657E-2</v>
      </c>
      <c r="AC19" s="54">
        <f t="shared" ca="1" si="9"/>
        <v>3.1261491537200259E-2</v>
      </c>
      <c r="AD19" s="54">
        <f t="shared" ca="1" si="10"/>
        <v>2.5342838990948691E-2</v>
      </c>
      <c r="AE19" s="54">
        <f t="shared" ref="AE19:AE20" ca="1" si="12">IFERROR((Y19/D19)^(1/21)-1,"")</f>
        <v>2.2159008921624368E-2</v>
      </c>
      <c r="AG19" s="52"/>
      <c r="AH19" s="52"/>
      <c r="AJ19" s="11">
        <f t="shared" si="5"/>
        <v>2037</v>
      </c>
      <c r="AK19" s="229">
        <f t="shared" ca="1" si="3"/>
        <v>69.030947488061472</v>
      </c>
      <c r="AL19" s="229">
        <f t="shared" ca="1" si="4"/>
        <v>-6.9030947488061516</v>
      </c>
      <c r="AM19" s="229">
        <f t="shared" ca="1" si="0"/>
        <v>63.346788957480044</v>
      </c>
      <c r="AN19" s="279">
        <f t="shared" ca="1" si="1"/>
        <v>22.151496240855828</v>
      </c>
    </row>
    <row r="20" spans="2:45" x14ac:dyDescent="0.2">
      <c r="B20" s="48" t="s">
        <v>65</v>
      </c>
      <c r="D20" s="2">
        <f>Macro!C20</f>
        <v>65</v>
      </c>
      <c r="E20" s="2">
        <f>Macro!D20</f>
        <v>97.5</v>
      </c>
      <c r="F20" s="2">
        <f>Macro!E20</f>
        <v>143.8125</v>
      </c>
      <c r="G20" s="2">
        <f>Macro!F20</f>
        <v>208.52812499999999</v>
      </c>
      <c r="H20" s="2">
        <f>Macro!G20</f>
        <v>297.15257812499993</v>
      </c>
      <c r="I20" s="2">
        <f>Macro!H20</f>
        <v>416.01360937499987</v>
      </c>
      <c r="J20" s="2">
        <f>Macro!I20</f>
        <v>572.01871289062478</v>
      </c>
      <c r="K20" s="2">
        <f>Macro!J20</f>
        <v>772.22526240234333</v>
      </c>
      <c r="L20" s="2">
        <f>Macro!K20</f>
        <v>1023.1984726831047</v>
      </c>
      <c r="M20" s="2">
        <f>Macro!L20</f>
        <v>1330.1580144880359</v>
      </c>
      <c r="N20" s="2">
        <f>Macro!M20</f>
        <v>1695.9514684722456</v>
      </c>
      <c r="O20" s="2">
        <f>Macro!N20</f>
        <v>2119.9393355903067</v>
      </c>
      <c r="P20" s="2">
        <f>Macro!O20</f>
        <v>2596.9256860981254</v>
      </c>
      <c r="Q20" s="2">
        <f>Macro!P20</f>
        <v>3116.3108233177504</v>
      </c>
      <c r="R20" s="2">
        <f>Macro!Q20</f>
        <v>3739.5729879813002</v>
      </c>
      <c r="S20" s="2">
        <f>Macro!R20</f>
        <v>4487.4875855775599</v>
      </c>
      <c r="T20" s="2">
        <f>Macro!S20</f>
        <v>5384.9851026930719</v>
      </c>
      <c r="U20" s="2">
        <f>Macro!T20</f>
        <v>6461.9821232316863</v>
      </c>
      <c r="V20" s="2">
        <f>Macro!U20</f>
        <v>7754.3785478780228</v>
      </c>
      <c r="W20" s="2">
        <f>Macro!V20</f>
        <v>9305.2542574536274</v>
      </c>
      <c r="X20" s="2">
        <f>Macro!W20</f>
        <v>11166.305108944352</v>
      </c>
      <c r="Y20" s="2">
        <f>Macro!X20</f>
        <v>13399.566130733223</v>
      </c>
      <c r="AA20" s="12">
        <f t="shared" si="7"/>
        <v>0.5</v>
      </c>
      <c r="AB20" s="12">
        <f t="shared" si="8"/>
        <v>0.43686559725988783</v>
      </c>
      <c r="AC20" s="12">
        <f t="shared" si="9"/>
        <v>0.37272244333469207</v>
      </c>
      <c r="AD20" s="12">
        <f t="shared" si="10"/>
        <v>0.31792879499327231</v>
      </c>
      <c r="AE20" s="12">
        <f t="shared" si="12"/>
        <v>0.28883975252734717</v>
      </c>
      <c r="AJ20" s="11">
        <f t="shared" si="5"/>
        <v>2038</v>
      </c>
      <c r="AK20" s="229">
        <f t="shared" ca="1" si="3"/>
        <v>83.834250671613702</v>
      </c>
      <c r="AL20" s="229">
        <f t="shared" ca="1" si="4"/>
        <v>-8.3834250671614416</v>
      </c>
      <c r="AM20" s="229">
        <f t="shared" ca="1" si="0"/>
        <v>76.931155922807733</v>
      </c>
      <c r="AN20" s="279">
        <f t="shared" ca="1" si="1"/>
        <v>22.418134621533135</v>
      </c>
    </row>
    <row r="21" spans="2:45" x14ac:dyDescent="0.2">
      <c r="B21" s="213" t="s">
        <v>196</v>
      </c>
      <c r="C21" s="214"/>
      <c r="D21" s="233"/>
      <c r="E21" s="233"/>
      <c r="F21" s="233"/>
      <c r="G21" s="233"/>
      <c r="H21" s="233"/>
      <c r="I21" s="233"/>
      <c r="J21" s="233"/>
      <c r="K21" s="233"/>
      <c r="L21" s="233"/>
      <c r="M21" s="233"/>
      <c r="N21" s="233"/>
      <c r="O21" s="233"/>
      <c r="P21" s="233"/>
      <c r="Q21" s="233"/>
      <c r="R21" s="233"/>
      <c r="S21" s="233"/>
      <c r="T21" s="233"/>
      <c r="U21" s="233"/>
      <c r="V21" s="233"/>
      <c r="W21" s="233"/>
      <c r="X21" s="233"/>
      <c r="Y21" s="233"/>
      <c r="AA21" s="12"/>
      <c r="AB21" s="12"/>
      <c r="AC21" s="12"/>
      <c r="AD21" s="12"/>
      <c r="AE21" s="223"/>
      <c r="AG21" s="214"/>
      <c r="AH21" s="214"/>
      <c r="AJ21" s="11">
        <f t="shared" si="5"/>
        <v>2039</v>
      </c>
      <c r="AK21" s="229">
        <f t="shared" ca="1" si="3"/>
        <v>101.81203998231327</v>
      </c>
      <c r="AL21" s="229">
        <f t="shared" ca="1" si="4"/>
        <v>-10.181203998231638</v>
      </c>
      <c r="AM21" s="229">
        <f t="shared" ca="1" si="0"/>
        <v>93.428614915152025</v>
      </c>
      <c r="AN21" s="279">
        <f t="shared" ca="1" si="1"/>
        <v>22.687982538275833</v>
      </c>
    </row>
    <row r="22" spans="2:45" x14ac:dyDescent="0.2">
      <c r="B22" t="s">
        <v>50</v>
      </c>
      <c r="D22" s="20">
        <f>$V$12*$D$5+D4*D20/10^3</f>
        <v>1000</v>
      </c>
      <c r="E22" s="2">
        <f ca="1">IFERROR(D22*(1+Macro!D52)-E31,0)</f>
        <v>1666.6666666666667</v>
      </c>
      <c r="F22" s="2">
        <f ca="1">IFERROR(E22*(1+Macro!E52)-F31,0)</f>
        <v>2533.3333333333335</v>
      </c>
      <c r="G22" s="2">
        <f ca="1">IFERROR(F22*(1+Macro!F52)-G31,0)</f>
        <v>3780.2962962962965</v>
      </c>
      <c r="H22" s="2">
        <f ca="1">IFERROR(G22*(1+Macro!G52)-H31,0)</f>
        <v>5536.0339094650199</v>
      </c>
      <c r="I22" s="2">
        <f ca="1">IFERROR(H22*(1+Macro!H52)-I31,0)</f>
        <v>7953.4353832647448</v>
      </c>
      <c r="J22" s="2">
        <f ca="1">IFERROR(I22*(1+Macro!I52)-J31,0)</f>
        <v>11205.506739977442</v>
      </c>
      <c r="K22" s="2">
        <f ca="1">IFERROR(J22*(1+Macro!J52)-K31,0)</f>
        <v>15476.049864213288</v>
      </c>
      <c r="L22" s="2">
        <f ca="1">IFERROR(K22*(1+Macro!K52)-L31,0)</f>
        <v>20944.254149568646</v>
      </c>
      <c r="M22" s="2">
        <f ca="1">IFERROR(L22*(1+Macro!L52)-M31,0)</f>
        <v>27762.772444928214</v>
      </c>
      <c r="N22" s="2">
        <f ca="1">IFERROR(M22*(1+Macro!M52)-N31,0)</f>
        <v>36029.909128529063</v>
      </c>
      <c r="O22" s="2">
        <f ca="1">IFERROR(N22*(1+Macro!N52)-O31,0)</f>
        <v>45757.984593231893</v>
      </c>
      <c r="P22" s="2">
        <f ca="1">IFERROR(O22*(1+Macro!O52)-P31,0)</f>
        <v>56841.585305814711</v>
      </c>
      <c r="Q22" s="2">
        <f ca="1">IFERROR(P22*(1+Macro!P52)-Q31,0)</f>
        <v>69030.947488061676</v>
      </c>
      <c r="R22" s="2">
        <f ca="1">IFERROR(Q22*(1+Macro!Q52)-R31,0)</f>
        <v>83834.250671613074</v>
      </c>
      <c r="S22" s="2">
        <f ca="1">IFERROR(R22*(1+Macro!R52)-S31,0)</f>
        <v>101812.03998230481</v>
      </c>
      <c r="T22" s="2">
        <f ca="1">IFERROR(S22*(1+Macro!S52)-T31,0)</f>
        <v>123645.0663340663</v>
      </c>
      <c r="U22" s="2">
        <f ca="1">IFERROR(T22*(1+Macro!T52)-U31,0)</f>
        <v>150160.06389235076</v>
      </c>
      <c r="V22" s="2">
        <f ca="1">IFERROR(U22*(1+Macro!U52)-V31,0)</f>
        <v>182361.05537133568</v>
      </c>
      <c r="W22" s="2">
        <f ca="1">IFERROR(V22*(1+Macro!V52)-W31,0)</f>
        <v>221467.37057800774</v>
      </c>
      <c r="X22" s="2">
        <f ca="1">IFERROR(W22*(1+Macro!W52)-X31,0)</f>
        <v>268959.8178212425</v>
      </c>
      <c r="Y22" s="2">
        <f ca="1">IFERROR(X22*(1+Macro!X52)-Y31,0)</f>
        <v>326636.7565213737</v>
      </c>
      <c r="AA22" s="12">
        <f t="shared" ref="AA22" ca="1" si="13">IFERROR((E22/D22)-1,"")</f>
        <v>0.66666666666666674</v>
      </c>
      <c r="AB22" s="12">
        <f t="shared" ref="AB22" ca="1" si="14">IFERROR((J22/D22)^(1/6)-1,"")</f>
        <v>0.49590925872518232</v>
      </c>
      <c r="AC22" s="12">
        <f t="shared" ref="AC22" ca="1" si="15">IFERROR((O22/D22)^(1/11)-1,"")</f>
        <v>0.41563579437992426</v>
      </c>
      <c r="AD22" s="12">
        <f t="shared" ref="AD22" ca="1" si="16">IFERROR((T22/D22)^(1/16)-1,"")</f>
        <v>0.35132885224629229</v>
      </c>
      <c r="AE22" s="12">
        <f t="shared" ref="AE22" ca="1" si="17">IFERROR((Y22/D22)^(1/21)-1,"")</f>
        <v>0.3173991641050502</v>
      </c>
      <c r="AG22" s="12">
        <f t="shared" ref="AG22:AG28" si="18">D22/D$28</f>
        <v>1</v>
      </c>
      <c r="AH22" s="12">
        <f t="shared" ref="AH22:AH28" ca="1" si="19">Y22/Y$28</f>
        <v>1.000000000046317</v>
      </c>
      <c r="AI22" s="12"/>
      <c r="AJ22" s="188">
        <f t="shared" si="5"/>
        <v>2040</v>
      </c>
      <c r="AK22" s="230">
        <f t="shared" ca="1" si="3"/>
        <v>123.64506633410981</v>
      </c>
      <c r="AL22" s="230">
        <f t="shared" ca="1" si="4"/>
        <v>-12.364506633411542</v>
      </c>
      <c r="AM22" s="230">
        <f t="shared" ca="1" si="0"/>
        <v>113.46386233587522</v>
      </c>
      <c r="AN22" s="280">
        <f t="shared" ca="1" si="1"/>
        <v>22.961078624390989</v>
      </c>
      <c r="AO22" s="12"/>
      <c r="AP22" s="12"/>
      <c r="AQ22" s="12"/>
      <c r="AR22" s="12"/>
      <c r="AS22" s="12"/>
    </row>
    <row r="23" spans="2:45" x14ac:dyDescent="0.2">
      <c r="B23" t="s">
        <v>42</v>
      </c>
      <c r="D23" s="20">
        <f>$D$5*$O5*(1-$V$12)</f>
        <v>0</v>
      </c>
      <c r="E23" s="2">
        <f>D23*(1+Macro!D69)</f>
        <v>0</v>
      </c>
      <c r="F23" s="2">
        <f>E23*(1+Macro!E69)</f>
        <v>0</v>
      </c>
      <c r="G23" s="2">
        <f>F23*(1+Macro!F69)</f>
        <v>0</v>
      </c>
      <c r="H23" s="2">
        <f>G23*(1+Macro!G69)</f>
        <v>0</v>
      </c>
      <c r="I23" s="2">
        <f>H23*(1+Macro!H69)</f>
        <v>0</v>
      </c>
      <c r="J23" s="2">
        <f>I23*(1+Macro!I69)</f>
        <v>0</v>
      </c>
      <c r="K23" s="2">
        <f>J23*(1+Macro!J69)</f>
        <v>0</v>
      </c>
      <c r="L23" s="2">
        <f>K23*(1+Macro!K69)</f>
        <v>0</v>
      </c>
      <c r="M23" s="2">
        <f>L23*(1+Macro!L69)</f>
        <v>0</v>
      </c>
      <c r="N23" s="2">
        <f>M23*(1+Macro!M69)</f>
        <v>0</v>
      </c>
      <c r="O23" s="2">
        <f>N23*(1+Macro!N69)</f>
        <v>0</v>
      </c>
      <c r="P23" s="2">
        <f>O23*(1+Macro!O69)</f>
        <v>0</v>
      </c>
      <c r="Q23" s="2">
        <f>P23*(1+Macro!P69)</f>
        <v>0</v>
      </c>
      <c r="R23" s="2">
        <f>Q23*(1+Macro!Q69)</f>
        <v>0</v>
      </c>
      <c r="S23" s="2">
        <f>R23*(1+Macro!R69)</f>
        <v>0</v>
      </c>
      <c r="T23" s="2">
        <f>S23*(1+Macro!S69)</f>
        <v>0</v>
      </c>
      <c r="U23" s="2">
        <f>T23*(1+Macro!T69)</f>
        <v>0</v>
      </c>
      <c r="V23" s="2">
        <f>U23*(1+Macro!U69)</f>
        <v>0</v>
      </c>
      <c r="W23" s="2">
        <f>V23*(1+Macro!V69)</f>
        <v>0</v>
      </c>
      <c r="X23" s="2">
        <f>W23*(1+Macro!W69)</f>
        <v>0</v>
      </c>
      <c r="Y23" s="2">
        <f>X23*(1+Macro!X69)</f>
        <v>0</v>
      </c>
      <c r="AA23" s="12" t="str">
        <f t="shared" ref="AA23:AA28" si="20">IFERROR((E23/D23)-1,"")</f>
        <v/>
      </c>
      <c r="AB23" s="12" t="str">
        <f t="shared" ref="AB23:AB28" si="21">IFERROR((J23/D23)^(1/6)-1,"")</f>
        <v/>
      </c>
      <c r="AC23" s="12" t="str">
        <f t="shared" ref="AC23:AC28" si="22">IFERROR((O23/D23)^(1/11)-1,"")</f>
        <v/>
      </c>
      <c r="AD23" s="12" t="str">
        <f t="shared" ref="AD23:AD28" si="23">IFERROR((T23/D23)^(1/16)-1,"")</f>
        <v/>
      </c>
      <c r="AE23" s="12" t="str">
        <f t="shared" ref="AE23:AE28" si="24">IFERROR((Y23/D23)^(1/21)-1,"")</f>
        <v/>
      </c>
      <c r="AG23" s="12">
        <f t="shared" si="18"/>
        <v>0</v>
      </c>
      <c r="AH23" s="12">
        <f t="shared" ca="1" si="19"/>
        <v>0</v>
      </c>
      <c r="AI23" s="12"/>
      <c r="AJ23" s="11">
        <f t="shared" si="5"/>
        <v>2041</v>
      </c>
      <c r="AK23" s="229">
        <f t="shared" ca="1" si="3"/>
        <v>150.1600638925002</v>
      </c>
      <c r="AL23" s="229">
        <f t="shared" ca="1" si="4"/>
        <v>-15.016006389248119</v>
      </c>
      <c r="AM23" s="229">
        <f t="shared" ca="1" si="0"/>
        <v>137.79555725906386</v>
      </c>
      <c r="AN23" s="279">
        <f t="shared" ca="1" si="1"/>
        <v>23.237461978214824</v>
      </c>
      <c r="AO23" s="12"/>
      <c r="AP23" s="12"/>
      <c r="AQ23" s="12"/>
      <c r="AR23" s="12"/>
      <c r="AS23" s="12"/>
    </row>
    <row r="24" spans="2:45" x14ac:dyDescent="0.2">
      <c r="B24" t="s">
        <v>46</v>
      </c>
      <c r="D24" s="20">
        <f>$D$5*$O6*(1-$V$12)</f>
        <v>0</v>
      </c>
      <c r="E24" s="2">
        <f>D24*(1+Macro!D71)</f>
        <v>0</v>
      </c>
      <c r="F24" s="2">
        <f>E24*(1+Macro!E71)</f>
        <v>0</v>
      </c>
      <c r="G24" s="2">
        <f>F24*(1+Macro!F71)</f>
        <v>0</v>
      </c>
      <c r="H24" s="2">
        <f>G24*(1+Macro!G71)</f>
        <v>0</v>
      </c>
      <c r="I24" s="2">
        <f>H24*(1+Macro!H71)</f>
        <v>0</v>
      </c>
      <c r="J24" s="2">
        <f>I24*(1+Macro!I71)</f>
        <v>0</v>
      </c>
      <c r="K24" s="2">
        <f>J24*(1+Macro!J71)</f>
        <v>0</v>
      </c>
      <c r="L24" s="2">
        <f>K24*(1+Macro!K71)</f>
        <v>0</v>
      </c>
      <c r="M24" s="2">
        <f>L24*(1+Macro!L71)</f>
        <v>0</v>
      </c>
      <c r="N24" s="2">
        <f>M24*(1+Macro!M71)</f>
        <v>0</v>
      </c>
      <c r="O24" s="2">
        <f>N24*(1+Macro!N71)</f>
        <v>0</v>
      </c>
      <c r="P24" s="2">
        <f>O24*(1+Macro!O71)</f>
        <v>0</v>
      </c>
      <c r="Q24" s="2">
        <f>P24*(1+Macro!P71)</f>
        <v>0</v>
      </c>
      <c r="R24" s="2">
        <f>Q24*(1+Macro!Q71)</f>
        <v>0</v>
      </c>
      <c r="S24" s="2">
        <f>R24*(1+Macro!R71)</f>
        <v>0</v>
      </c>
      <c r="T24" s="2">
        <f>S24*(1+Macro!S71)</f>
        <v>0</v>
      </c>
      <c r="U24" s="2">
        <f>T24*(1+Macro!T71)</f>
        <v>0</v>
      </c>
      <c r="V24" s="2">
        <f>U24*(1+Macro!U71)</f>
        <v>0</v>
      </c>
      <c r="W24" s="2">
        <f>V24*(1+Macro!V71)</f>
        <v>0</v>
      </c>
      <c r="X24" s="2">
        <f>W24*(1+Macro!W71)</f>
        <v>0</v>
      </c>
      <c r="Y24" s="2">
        <f>X24*(1+Macro!X71)</f>
        <v>0</v>
      </c>
      <c r="AA24" s="12" t="str">
        <f t="shared" si="20"/>
        <v/>
      </c>
      <c r="AB24" s="12" t="str">
        <f t="shared" si="21"/>
        <v/>
      </c>
      <c r="AC24" s="12" t="str">
        <f t="shared" si="22"/>
        <v/>
      </c>
      <c r="AD24" s="12" t="str">
        <f t="shared" si="23"/>
        <v/>
      </c>
      <c r="AE24" s="12" t="str">
        <f t="shared" si="24"/>
        <v/>
      </c>
      <c r="AG24" s="12">
        <f t="shared" si="18"/>
        <v>0</v>
      </c>
      <c r="AH24" s="12">
        <f t="shared" ca="1" si="19"/>
        <v>0</v>
      </c>
      <c r="AI24" s="12"/>
      <c r="AJ24" s="11">
        <f t="shared" si="5"/>
        <v>2042</v>
      </c>
      <c r="AK24" s="229">
        <f t="shared" ca="1" si="3"/>
        <v>182.36105537168189</v>
      </c>
      <c r="AL24" s="229">
        <f t="shared" ca="1" si="4"/>
        <v>-18.236105537145438</v>
      </c>
      <c r="AM24" s="229">
        <f t="shared" ca="1" si="0"/>
        <v>167.34504898230742</v>
      </c>
      <c r="AN24" s="279">
        <f t="shared" ca="1" si="1"/>
        <v>23.517172168694913</v>
      </c>
      <c r="AO24" s="12"/>
      <c r="AP24" s="12"/>
      <c r="AQ24" s="12"/>
      <c r="AR24" s="12"/>
      <c r="AS24" s="12"/>
    </row>
    <row r="25" spans="2:45" x14ac:dyDescent="0.2">
      <c r="B25" t="s">
        <v>49</v>
      </c>
      <c r="D25" s="20">
        <f>$D$5*$O7*(1-$V$12)</f>
        <v>0</v>
      </c>
      <c r="E25" s="2">
        <f>D25*(1+Macro!D72)</f>
        <v>0</v>
      </c>
      <c r="F25" s="2">
        <f>E25*(1+Macro!E72)</f>
        <v>0</v>
      </c>
      <c r="G25" s="2">
        <f>F25*(1+Macro!F72)</f>
        <v>0</v>
      </c>
      <c r="H25" s="2">
        <f>G25*(1+Macro!G72)</f>
        <v>0</v>
      </c>
      <c r="I25" s="2">
        <f>H25*(1+Macro!H72)</f>
        <v>0</v>
      </c>
      <c r="J25" s="2">
        <f>I25*(1+Macro!I72)</f>
        <v>0</v>
      </c>
      <c r="K25" s="2">
        <f>J25*(1+Macro!J72)</f>
        <v>0</v>
      </c>
      <c r="L25" s="2">
        <f>K25*(1+Macro!K72)</f>
        <v>0</v>
      </c>
      <c r="M25" s="2">
        <f>L25*(1+Macro!L72)</f>
        <v>0</v>
      </c>
      <c r="N25" s="2">
        <f>M25*(1+Macro!M72)</f>
        <v>0</v>
      </c>
      <c r="O25" s="2">
        <f>N25*(1+Macro!N72)</f>
        <v>0</v>
      </c>
      <c r="P25" s="2">
        <f>O25*(1+Macro!O72)</f>
        <v>0</v>
      </c>
      <c r="Q25" s="2">
        <f>P25*(1+Macro!P72)</f>
        <v>0</v>
      </c>
      <c r="R25" s="2">
        <f>Q25*(1+Macro!Q72)</f>
        <v>0</v>
      </c>
      <c r="S25" s="2">
        <f>R25*(1+Macro!R72)</f>
        <v>0</v>
      </c>
      <c r="T25" s="2">
        <f>S25*(1+Macro!S72)</f>
        <v>0</v>
      </c>
      <c r="U25" s="2">
        <f>T25*(1+Macro!T72)</f>
        <v>0</v>
      </c>
      <c r="V25" s="2">
        <f>U25*(1+Macro!U72)</f>
        <v>0</v>
      </c>
      <c r="W25" s="2">
        <f>V25*(1+Macro!V72)</f>
        <v>0</v>
      </c>
      <c r="X25" s="2">
        <f>W25*(1+Macro!W72)</f>
        <v>0</v>
      </c>
      <c r="Y25" s="2">
        <f>X25*(1+Macro!X72)</f>
        <v>0</v>
      </c>
      <c r="AA25" s="12" t="str">
        <f t="shared" si="20"/>
        <v/>
      </c>
      <c r="AB25" s="12" t="str">
        <f t="shared" si="21"/>
        <v/>
      </c>
      <c r="AC25" s="12" t="str">
        <f t="shared" si="22"/>
        <v/>
      </c>
      <c r="AD25" s="12" t="str">
        <f t="shared" si="23"/>
        <v/>
      </c>
      <c r="AE25" s="12" t="str">
        <f t="shared" si="24"/>
        <v/>
      </c>
      <c r="AG25" s="12">
        <f t="shared" si="18"/>
        <v>0</v>
      </c>
      <c r="AH25" s="12">
        <f t="shared" ca="1" si="19"/>
        <v>0</v>
      </c>
      <c r="AI25" s="12"/>
      <c r="AJ25" s="11">
        <f t="shared" si="5"/>
        <v>2043</v>
      </c>
      <c r="AK25" s="229">
        <f t="shared" ca="1" si="3"/>
        <v>221.46737057830208</v>
      </c>
      <c r="AL25" s="229">
        <f t="shared" ca="1" si="4"/>
        <v>-22.146737057701269</v>
      </c>
      <c r="AM25" s="229">
        <f t="shared" ca="1" si="0"/>
        <v>203.23126504064194</v>
      </c>
      <c r="AN25" s="279">
        <f t="shared" ca="1" si="1"/>
        <v>23.800249241003154</v>
      </c>
      <c r="AO25" s="12"/>
      <c r="AP25" s="12"/>
      <c r="AQ25" s="12"/>
      <c r="AR25" s="12"/>
      <c r="AS25" s="12"/>
    </row>
    <row r="26" spans="2:45" x14ac:dyDescent="0.2">
      <c r="B26" t="s">
        <v>51</v>
      </c>
      <c r="D26" s="20">
        <f>$D$5*$O8*(1-$V$12)</f>
        <v>0</v>
      </c>
      <c r="E26" s="2">
        <f>D26*(1+Macro!D75)</f>
        <v>0</v>
      </c>
      <c r="F26" s="2">
        <f>E26*(1+Macro!E75)</f>
        <v>0</v>
      </c>
      <c r="G26" s="2">
        <f>F26*(1+Macro!F75)</f>
        <v>0</v>
      </c>
      <c r="H26" s="2">
        <f>G26*(1+Macro!G75)</f>
        <v>0</v>
      </c>
      <c r="I26" s="2">
        <f>H26*(1+Macro!H75)</f>
        <v>0</v>
      </c>
      <c r="J26" s="2">
        <f>I26*(1+Macro!I75)</f>
        <v>0</v>
      </c>
      <c r="K26" s="2">
        <f>J26*(1+Macro!J75)</f>
        <v>0</v>
      </c>
      <c r="L26" s="2">
        <f>K26*(1+Macro!K75)</f>
        <v>0</v>
      </c>
      <c r="M26" s="2">
        <f>L26*(1+Macro!L75)</f>
        <v>0</v>
      </c>
      <c r="N26" s="2">
        <f>M26*(1+Macro!M75)</f>
        <v>0</v>
      </c>
      <c r="O26" s="2">
        <f>N26*(1+Macro!N75)</f>
        <v>0</v>
      </c>
      <c r="P26" s="2">
        <f>O26*(1+Macro!O75)</f>
        <v>0</v>
      </c>
      <c r="Q26" s="2">
        <f>P26*(1+Macro!P75)</f>
        <v>0</v>
      </c>
      <c r="R26" s="2">
        <f>Q26*(1+Macro!Q75)</f>
        <v>0</v>
      </c>
      <c r="S26" s="2">
        <f>R26*(1+Macro!R75)</f>
        <v>0</v>
      </c>
      <c r="T26" s="2">
        <f>S26*(1+Macro!S75)</f>
        <v>0</v>
      </c>
      <c r="U26" s="2">
        <f>T26*(1+Macro!T75)</f>
        <v>0</v>
      </c>
      <c r="V26" s="2">
        <f>U26*(1+Macro!U75)</f>
        <v>0</v>
      </c>
      <c r="W26" s="2">
        <f>V26*(1+Macro!V75)</f>
        <v>0</v>
      </c>
      <c r="X26" s="2">
        <f>W26*(1+Macro!W75)</f>
        <v>0</v>
      </c>
      <c r="Y26" s="2">
        <f>X26*(1+Macro!X75)</f>
        <v>0</v>
      </c>
      <c r="AA26" s="12" t="str">
        <f t="shared" si="20"/>
        <v/>
      </c>
      <c r="AB26" s="12" t="str">
        <f t="shared" si="21"/>
        <v/>
      </c>
      <c r="AC26" s="12" t="str">
        <f t="shared" si="22"/>
        <v/>
      </c>
      <c r="AD26" s="12" t="str">
        <f t="shared" si="23"/>
        <v/>
      </c>
      <c r="AE26" s="12" t="str">
        <f t="shared" si="24"/>
        <v/>
      </c>
      <c r="AG26" s="12">
        <f t="shared" si="18"/>
        <v>0</v>
      </c>
      <c r="AH26" s="12">
        <f t="shared" ca="1" si="19"/>
        <v>0</v>
      </c>
      <c r="AI26" s="12"/>
      <c r="AJ26" s="11">
        <f t="shared" si="5"/>
        <v>2044</v>
      </c>
      <c r="AK26" s="229">
        <f t="shared" ca="1" si="3"/>
        <v>268.95981781915515</v>
      </c>
      <c r="AL26" s="229">
        <f t="shared" ca="1" si="4"/>
        <v>-26.895981781352809</v>
      </c>
      <c r="AM26" s="229">
        <f t="shared" ca="1" si="0"/>
        <v>246.81308075960413</v>
      </c>
      <c r="AN26" s="279">
        <f t="shared" ca="1" si="1"/>
        <v>24.086733722125768</v>
      </c>
      <c r="AO26" s="12"/>
      <c r="AP26" s="12"/>
      <c r="AQ26" s="12"/>
      <c r="AR26" s="12"/>
      <c r="AS26" s="12"/>
    </row>
    <row r="27" spans="2:45" x14ac:dyDescent="0.2">
      <c r="B27" t="s">
        <v>53</v>
      </c>
      <c r="D27" s="2">
        <f>$D$5*$O9*(1-$V$12)</f>
        <v>0</v>
      </c>
      <c r="E27" s="2">
        <f>D27*(1+Macro!D76)</f>
        <v>0</v>
      </c>
      <c r="F27" s="2">
        <f>E27*(1+Macro!E76)</f>
        <v>0</v>
      </c>
      <c r="G27" s="2">
        <f>F27*(1+Macro!F76)</f>
        <v>0</v>
      </c>
      <c r="H27" s="2">
        <f>G27*(1+Macro!G76)</f>
        <v>0</v>
      </c>
      <c r="I27" s="2">
        <f>H27*(1+Macro!H76)</f>
        <v>0</v>
      </c>
      <c r="J27" s="2">
        <f>I27*(1+Macro!I76)</f>
        <v>0</v>
      </c>
      <c r="K27" s="2">
        <f>J27*(1+Macro!J76)</f>
        <v>0</v>
      </c>
      <c r="L27" s="2">
        <f>K27*(1+Macro!K76)</f>
        <v>0</v>
      </c>
      <c r="M27" s="2">
        <f>L27*(1+Macro!L76)</f>
        <v>0</v>
      </c>
      <c r="N27" s="2">
        <f>M27*(1+Macro!M76)</f>
        <v>0</v>
      </c>
      <c r="O27" s="2">
        <f>N27*(1+Macro!N76)</f>
        <v>0</v>
      </c>
      <c r="P27" s="2">
        <f>O27*(1+Macro!O76)</f>
        <v>0</v>
      </c>
      <c r="Q27" s="2">
        <f>P27*(1+Macro!P76)</f>
        <v>0</v>
      </c>
      <c r="R27" s="2">
        <f>Q27*(1+Macro!Q76)</f>
        <v>0</v>
      </c>
      <c r="S27" s="2">
        <f>R27*(1+Macro!R76)</f>
        <v>0</v>
      </c>
      <c r="T27" s="2">
        <f>S27*(1+Macro!S76)</f>
        <v>0</v>
      </c>
      <c r="U27" s="2">
        <f>T27*(1+Macro!T76)</f>
        <v>0</v>
      </c>
      <c r="V27" s="2">
        <f>U27*(1+Macro!U76)</f>
        <v>0</v>
      </c>
      <c r="W27" s="2">
        <f>V27*(1+Macro!V76)</f>
        <v>0</v>
      </c>
      <c r="X27" s="2">
        <f>W27*(1+Macro!W76)</f>
        <v>0</v>
      </c>
      <c r="Y27" s="2">
        <f>X27*(1+Macro!X76)</f>
        <v>0</v>
      </c>
      <c r="AA27" s="12" t="str">
        <f t="shared" si="20"/>
        <v/>
      </c>
      <c r="AB27" s="12" t="str">
        <f t="shared" si="21"/>
        <v/>
      </c>
      <c r="AC27" s="12" t="str">
        <f t="shared" si="22"/>
        <v/>
      </c>
      <c r="AD27" s="12" t="str">
        <f t="shared" si="23"/>
        <v/>
      </c>
      <c r="AE27" s="12" t="str">
        <f t="shared" si="24"/>
        <v/>
      </c>
      <c r="AG27" s="12">
        <f t="shared" si="18"/>
        <v>0</v>
      </c>
      <c r="AH27" s="12">
        <f t="shared" ca="1" si="19"/>
        <v>0</v>
      </c>
      <c r="AI27" s="12"/>
      <c r="AJ27" s="188">
        <f t="shared" si="5"/>
        <v>2045</v>
      </c>
      <c r="AK27" s="230">
        <f t="shared" ca="1" si="3"/>
        <v>326.63675650624486</v>
      </c>
      <c r="AL27" s="230">
        <f t="shared" ca="1" si="4"/>
        <v>-32.663675648522315</v>
      </c>
      <c r="AM27" s="230">
        <f t="shared" ca="1" si="0"/>
        <v>299.74077471873125</v>
      </c>
      <c r="AN27" s="280">
        <f t="shared" ca="1" si="1"/>
        <v>24.376666626322425</v>
      </c>
      <c r="AO27" s="15"/>
      <c r="AP27" s="15"/>
      <c r="AQ27" s="15"/>
      <c r="AR27" s="15"/>
      <c r="AS27" s="15"/>
    </row>
    <row r="28" spans="2:45" x14ac:dyDescent="0.2">
      <c r="B28" s="134" t="s">
        <v>197</v>
      </c>
      <c r="C28" s="134"/>
      <c r="D28" s="176">
        <f t="shared" ref="D28" si="25">SUM(D22:D27)</f>
        <v>1000</v>
      </c>
      <c r="E28" s="176">
        <f t="shared" ref="E28:Y28" ca="1" si="26">SUM(E22:E27)</f>
        <v>1666.6666666666667</v>
      </c>
      <c r="F28" s="176">
        <f t="shared" ca="1" si="26"/>
        <v>2533.3333333333335</v>
      </c>
      <c r="G28" s="176">
        <f t="shared" ca="1" si="26"/>
        <v>3780.2962962962965</v>
      </c>
      <c r="H28" s="176">
        <f t="shared" ca="1" si="26"/>
        <v>5536.0339094650199</v>
      </c>
      <c r="I28" s="176">
        <f t="shared" ca="1" si="26"/>
        <v>7953.4353832647448</v>
      </c>
      <c r="J28" s="176">
        <f t="shared" ca="1" si="26"/>
        <v>11205.506739977442</v>
      </c>
      <c r="K28" s="176">
        <f t="shared" ca="1" si="26"/>
        <v>15476.049864213288</v>
      </c>
      <c r="L28" s="176">
        <f t="shared" ca="1" si="26"/>
        <v>20944.254149568646</v>
      </c>
      <c r="M28" s="176">
        <f t="shared" ca="1" si="26"/>
        <v>27762.772444928214</v>
      </c>
      <c r="N28" s="176">
        <f t="shared" ca="1" si="26"/>
        <v>36029.909128529063</v>
      </c>
      <c r="O28" s="176">
        <f t="shared" ca="1" si="26"/>
        <v>45757.984593231893</v>
      </c>
      <c r="P28" s="176">
        <f t="shared" ca="1" si="26"/>
        <v>56841.585305814711</v>
      </c>
      <c r="Q28" s="176">
        <f t="shared" ca="1" si="26"/>
        <v>69030.947488061676</v>
      </c>
      <c r="R28" s="176">
        <f t="shared" ca="1" si="26"/>
        <v>83834.250671613074</v>
      </c>
      <c r="S28" s="176">
        <f t="shared" ca="1" si="26"/>
        <v>101812.03998230481</v>
      </c>
      <c r="T28" s="176">
        <f t="shared" ca="1" si="26"/>
        <v>123645.0663340663</v>
      </c>
      <c r="U28" s="176">
        <f t="shared" ca="1" si="26"/>
        <v>150160.06389235076</v>
      </c>
      <c r="V28" s="176">
        <f t="shared" ca="1" si="26"/>
        <v>182361.05537133568</v>
      </c>
      <c r="W28" s="176">
        <f t="shared" ca="1" si="26"/>
        <v>221467.37057800774</v>
      </c>
      <c r="X28" s="176">
        <f t="shared" ca="1" si="26"/>
        <v>268959.8178212425</v>
      </c>
      <c r="Y28" s="176">
        <f t="shared" ca="1" si="26"/>
        <v>326636.7565213737</v>
      </c>
      <c r="AA28" s="136">
        <f t="shared" ca="1" si="20"/>
        <v>0.66666666666666674</v>
      </c>
      <c r="AB28" s="136">
        <f t="shared" ca="1" si="21"/>
        <v>0.49590925872518232</v>
      </c>
      <c r="AC28" s="136">
        <f t="shared" ca="1" si="22"/>
        <v>0.41563579437992426</v>
      </c>
      <c r="AD28" s="136">
        <f t="shared" ca="1" si="23"/>
        <v>0.35132885224629229</v>
      </c>
      <c r="AE28" s="136">
        <f t="shared" ca="1" si="24"/>
        <v>0.3173991641050502</v>
      </c>
      <c r="AG28" s="136">
        <f t="shared" si="18"/>
        <v>1</v>
      </c>
      <c r="AH28" s="136">
        <f t="shared" ca="1" si="19"/>
        <v>1</v>
      </c>
      <c r="AI28" s="15"/>
    </row>
    <row r="29" spans="2:45" ht="4" customHeight="1" x14ac:dyDescent="0.2">
      <c r="AJ29" s="9"/>
      <c r="AK29" s="9"/>
      <c r="AL29" s="9"/>
      <c r="AM29" s="9"/>
      <c r="AN29" s="9"/>
      <c r="AO29" s="9"/>
      <c r="AP29" s="9"/>
      <c r="AQ29" s="9"/>
      <c r="AR29" s="9"/>
      <c r="AS29" s="9"/>
    </row>
    <row r="30" spans="2:45" hidden="1" outlineLevel="1" x14ac:dyDescent="0.2">
      <c r="B30" t="s">
        <v>175</v>
      </c>
      <c r="D30" s="2">
        <f>MIN(-D6,0)</f>
        <v>0</v>
      </c>
      <c r="E30" s="2">
        <f t="shared" ref="E30:Y30" si="27">D33</f>
        <v>0</v>
      </c>
      <c r="F30" s="2">
        <f t="shared" ca="1" si="27"/>
        <v>-166.66666666666669</v>
      </c>
      <c r="G30" s="2">
        <f t="shared" ca="1" si="27"/>
        <v>-253.33333333333334</v>
      </c>
      <c r="H30" s="2">
        <f t="shared" ca="1" si="27"/>
        <v>-378.02962962962965</v>
      </c>
      <c r="I30" s="2">
        <f t="shared" ca="1" si="27"/>
        <v>-553.60339094650203</v>
      </c>
      <c r="J30" s="2">
        <f t="shared" ca="1" si="27"/>
        <v>-795.34353832647457</v>
      </c>
      <c r="K30" s="2">
        <f t="shared" ca="1" si="27"/>
        <v>-1120.5506739977441</v>
      </c>
      <c r="L30" s="2">
        <f t="shared" ca="1" si="27"/>
        <v>-1547.6049864213289</v>
      </c>
      <c r="M30" s="2">
        <f t="shared" ca="1" si="27"/>
        <v>-2094.4254149568646</v>
      </c>
      <c r="N30" s="2">
        <f t="shared" ca="1" si="27"/>
        <v>-2776.2772444928219</v>
      </c>
      <c r="O30" s="2">
        <f t="shared" ca="1" si="27"/>
        <v>-3602.9909128529071</v>
      </c>
      <c r="P30" s="2">
        <f t="shared" ca="1" si="27"/>
        <v>-4575.7984593231895</v>
      </c>
      <c r="Q30" s="2">
        <f t="shared" ca="1" si="27"/>
        <v>-5684.1585305814633</v>
      </c>
      <c r="R30" s="2">
        <f t="shared" ca="1" si="27"/>
        <v>-6903.094748806152</v>
      </c>
      <c r="S30" s="2">
        <f t="shared" ca="1" si="27"/>
        <v>-8383.4250671614409</v>
      </c>
      <c r="T30" s="2">
        <f t="shared" ca="1" si="27"/>
        <v>-10181.203998231638</v>
      </c>
      <c r="U30" s="2">
        <f t="shared" ca="1" si="27"/>
        <v>-12364.506633411542</v>
      </c>
      <c r="V30" s="2">
        <f t="shared" ca="1" si="27"/>
        <v>-15016.006389248119</v>
      </c>
      <c r="W30" s="2">
        <f t="shared" ca="1" si="27"/>
        <v>-18236.105537145439</v>
      </c>
      <c r="X30" s="2">
        <f t="shared" ca="1" si="27"/>
        <v>-22146.73705770127</v>
      </c>
      <c r="Y30" s="2">
        <f t="shared" ca="1" si="27"/>
        <v>-26895.98178135281</v>
      </c>
      <c r="AA30" s="12" t="str">
        <f t="shared" ref="AA30" si="28">IFERROR((E30/D30)-1,"")</f>
        <v/>
      </c>
      <c r="AB30" s="12" t="str">
        <f t="shared" ref="AB30" ca="1" si="29">IFERROR((J30/D30)^(1/6)-1,"")</f>
        <v/>
      </c>
      <c r="AC30" s="12" t="str">
        <f t="shared" ref="AC30" ca="1" si="30">IFERROR((O30/D30)^(1/11)-1,"")</f>
        <v/>
      </c>
      <c r="AD30" s="12" t="str">
        <f t="shared" ref="AD30" ca="1" si="31">IFERROR((T30/D30)^(1/16)-1,"")</f>
        <v/>
      </c>
      <c r="AE30" s="12" t="str">
        <f t="shared" ref="AE30" ca="1" si="32">IFERROR((Y30/D30)^(1/21)-1,"")</f>
        <v/>
      </c>
      <c r="AG30" s="9"/>
      <c r="AH30" s="9"/>
      <c r="AI30" s="9"/>
      <c r="AJ30" s="15"/>
      <c r="AK30" s="15"/>
      <c r="AL30" s="15"/>
      <c r="AM30" s="15"/>
      <c r="AN30" s="15"/>
      <c r="AO30" s="15"/>
      <c r="AP30" s="15"/>
      <c r="AQ30" s="15"/>
      <c r="AR30" s="15"/>
      <c r="AS30" s="15"/>
    </row>
    <row r="31" spans="2:45" ht="15" hidden="1" customHeight="1" outlineLevel="1" x14ac:dyDescent="0.2">
      <c r="B31" s="48" t="s">
        <v>198</v>
      </c>
      <c r="C31" s="48"/>
      <c r="E31" s="20">
        <f t="shared" ref="E31:Y31" ca="1" si="33">-MAX($V$13*E22+E30+E32,0)</f>
        <v>-166.66666666666669</v>
      </c>
      <c r="F31" s="2">
        <f t="shared" ca="1" si="33"/>
        <v>-75.000000000000014</v>
      </c>
      <c r="G31" s="2">
        <f t="shared" ca="1" si="33"/>
        <v>-106.96296296296298</v>
      </c>
      <c r="H31" s="2">
        <f t="shared" ca="1" si="33"/>
        <v>-149.1116872427983</v>
      </c>
      <c r="I31" s="2">
        <f t="shared" ca="1" si="33"/>
        <v>-202.9879100137174</v>
      </c>
      <c r="J31" s="2">
        <f t="shared" ca="1" si="33"/>
        <v>-269.53308798841647</v>
      </c>
      <c r="K31" s="2">
        <f t="shared" ca="1" si="33"/>
        <v>-348.61576524374277</v>
      </c>
      <c r="L31" s="2">
        <f t="shared" ca="1" si="33"/>
        <v>-438.48807948604269</v>
      </c>
      <c r="M31" s="2">
        <f t="shared" ca="1" si="33"/>
        <v>-535.24205048897625</v>
      </c>
      <c r="N31" s="2">
        <f t="shared" ca="1" si="33"/>
        <v>-632.37426124558726</v>
      </c>
      <c r="O31" s="2">
        <f t="shared" ca="1" si="33"/>
        <v>-720.59818257057884</v>
      </c>
      <c r="P31" s="2">
        <f t="shared" ca="1" si="33"/>
        <v>-788.05417910565848</v>
      </c>
      <c r="Q31" s="2">
        <f t="shared" ca="1" si="33"/>
        <v>-821.04512108400502</v>
      </c>
      <c r="R31" s="2">
        <f t="shared" ca="1" si="33"/>
        <v>-997.11368593873908</v>
      </c>
      <c r="S31" s="2">
        <f t="shared" ca="1" si="33"/>
        <v>-1210.939176367754</v>
      </c>
      <c r="T31" s="2">
        <f t="shared" ca="1" si="33"/>
        <v>-1470.6183552985713</v>
      </c>
      <c r="U31" s="2">
        <f t="shared" ca="1" si="33"/>
        <v>-1785.9842914829903</v>
      </c>
      <c r="V31" s="2">
        <f t="shared" ca="1" si="33"/>
        <v>-2168.9787006292363</v>
      </c>
      <c r="W31" s="2">
        <f t="shared" ca="1" si="33"/>
        <v>-2634.1041330191274</v>
      </c>
      <c r="X31" s="2">
        <f t="shared" ca="1" si="33"/>
        <v>-3198.9731302544087</v>
      </c>
      <c r="Y31" s="2">
        <f t="shared" ca="1" si="33"/>
        <v>-3884.9751456586073</v>
      </c>
    </row>
    <row r="32" spans="2:45" hidden="1" outlineLevel="1" x14ac:dyDescent="0.2">
      <c r="B32" s="48" t="s">
        <v>199</v>
      </c>
      <c r="C32" s="48"/>
      <c r="E32" s="2">
        <f t="shared" ref="E32:Y32" si="34">E30*$D$7</f>
        <v>0</v>
      </c>
      <c r="F32" s="2">
        <f t="shared" ca="1" si="34"/>
        <v>-11.66666666666667</v>
      </c>
      <c r="G32" s="2">
        <f t="shared" ca="1" si="34"/>
        <v>-17.733333333333334</v>
      </c>
      <c r="H32" s="2">
        <f t="shared" ca="1" si="34"/>
        <v>-26.462074074074078</v>
      </c>
      <c r="I32" s="2">
        <f t="shared" ca="1" si="34"/>
        <v>-38.752237366255144</v>
      </c>
      <c r="J32" s="2">
        <f t="shared" ca="1" si="34"/>
        <v>-55.674047682853228</v>
      </c>
      <c r="K32" s="2">
        <f t="shared" ca="1" si="34"/>
        <v>-78.438547179842089</v>
      </c>
      <c r="L32" s="2">
        <f t="shared" ca="1" si="34"/>
        <v>-108.33234904949303</v>
      </c>
      <c r="M32" s="2">
        <f t="shared" ca="1" si="34"/>
        <v>-146.60977904698055</v>
      </c>
      <c r="N32" s="2">
        <f t="shared" ca="1" si="34"/>
        <v>-194.33940711449756</v>
      </c>
      <c r="O32" s="2">
        <f t="shared" ca="1" si="34"/>
        <v>-252.2093638997035</v>
      </c>
      <c r="P32" s="2">
        <f t="shared" ca="1" si="34"/>
        <v>-320.3058921526233</v>
      </c>
      <c r="Q32" s="2">
        <f t="shared" ca="1" si="34"/>
        <v>-397.89109714070247</v>
      </c>
      <c r="R32" s="2">
        <f t="shared" ca="1" si="34"/>
        <v>-483.21663241643068</v>
      </c>
      <c r="S32" s="2">
        <f t="shared" ca="1" si="34"/>
        <v>-586.83975470130088</v>
      </c>
      <c r="T32" s="2">
        <f t="shared" ca="1" si="34"/>
        <v>-712.68427987621476</v>
      </c>
      <c r="U32" s="2">
        <f t="shared" ca="1" si="34"/>
        <v>-865.51546433880799</v>
      </c>
      <c r="V32" s="2">
        <f t="shared" ca="1" si="34"/>
        <v>-1051.1204472473685</v>
      </c>
      <c r="W32" s="2">
        <f t="shared" ca="1" si="34"/>
        <v>-1276.5273876001809</v>
      </c>
      <c r="X32" s="2">
        <f t="shared" ca="1" si="34"/>
        <v>-1550.271594039089</v>
      </c>
      <c r="Y32" s="2">
        <f t="shared" ca="1" si="34"/>
        <v>-1882.7187246946969</v>
      </c>
    </row>
    <row r="33" spans="2:40" collapsed="1" x14ac:dyDescent="0.2">
      <c r="B33" t="s">
        <v>122</v>
      </c>
      <c r="D33" s="2">
        <f t="shared" ref="D33" si="35">SUM(D30:D32)</f>
        <v>0</v>
      </c>
      <c r="E33" s="2">
        <f t="shared" ref="E33:Y33" ca="1" si="36">SUM(E30:E32)</f>
        <v>-166.66666666666669</v>
      </c>
      <c r="F33" s="2">
        <f t="shared" ca="1" si="36"/>
        <v>-253.33333333333334</v>
      </c>
      <c r="G33" s="2">
        <f t="shared" ca="1" si="36"/>
        <v>-378.02962962962965</v>
      </c>
      <c r="H33" s="2">
        <f t="shared" ca="1" si="36"/>
        <v>-553.60339094650203</v>
      </c>
      <c r="I33" s="2">
        <f t="shared" ca="1" si="36"/>
        <v>-795.34353832647457</v>
      </c>
      <c r="J33" s="2">
        <f t="shared" ca="1" si="36"/>
        <v>-1120.5506739977441</v>
      </c>
      <c r="K33" s="2">
        <f t="shared" ca="1" si="36"/>
        <v>-1547.6049864213289</v>
      </c>
      <c r="L33" s="2">
        <f t="shared" ca="1" si="36"/>
        <v>-2094.4254149568646</v>
      </c>
      <c r="M33" s="2">
        <f t="shared" ca="1" si="36"/>
        <v>-2776.2772444928219</v>
      </c>
      <c r="N33" s="2">
        <f t="shared" ca="1" si="36"/>
        <v>-3602.9909128529066</v>
      </c>
      <c r="O33" s="2">
        <f t="shared" ca="1" si="36"/>
        <v>-4575.7984593231895</v>
      </c>
      <c r="P33" s="2">
        <f t="shared" ca="1" si="36"/>
        <v>-5684.1585305814715</v>
      </c>
      <c r="Q33" s="2">
        <f t="shared" ca="1" si="36"/>
        <v>-6903.0947488061702</v>
      </c>
      <c r="R33" s="2">
        <f t="shared" ca="1" si="36"/>
        <v>-8383.4250671613208</v>
      </c>
      <c r="S33" s="2">
        <f t="shared" ca="1" si="36"/>
        <v>-10181.203998230496</v>
      </c>
      <c r="T33" s="2">
        <f t="shared" ca="1" si="36"/>
        <v>-12364.506633406425</v>
      </c>
      <c r="U33" s="2">
        <f t="shared" ca="1" si="36"/>
        <v>-15016.00638923334</v>
      </c>
      <c r="V33" s="2">
        <f t="shared" ca="1" si="36"/>
        <v>-18236.105537124724</v>
      </c>
      <c r="W33" s="2">
        <f t="shared" ca="1" si="36"/>
        <v>-22146.737057764745</v>
      </c>
      <c r="X33" s="2">
        <f t="shared" ca="1" si="36"/>
        <v>-26895.981781994768</v>
      </c>
      <c r="Y33" s="2">
        <f t="shared" ca="1" si="36"/>
        <v>-32663.675651706111</v>
      </c>
      <c r="AA33" s="12" t="str">
        <f t="shared" ref="AA33" ca="1" si="37">IFERROR((E33/D33)-1,"")</f>
        <v/>
      </c>
      <c r="AB33" s="12" t="str">
        <f t="shared" ref="AB33" ca="1" si="38">IFERROR((J33/D33)^(1/6)-1,"")</f>
        <v/>
      </c>
      <c r="AC33" s="12" t="str">
        <f t="shared" ref="AC33" ca="1" si="39">IFERROR((O33/D33)^(1/11)-1,"")</f>
        <v/>
      </c>
      <c r="AD33" s="12" t="str">
        <f t="shared" ref="AD33" ca="1" si="40">IFERROR((T33/D33)^(1/16)-1,"")</f>
        <v/>
      </c>
      <c r="AE33" s="12" t="str">
        <f t="shared" ref="AE33" ca="1" si="41">IFERROR((Y33/D33)^(1/21)-1,"")</f>
        <v/>
      </c>
    </row>
    <row r="34" spans="2:40" x14ac:dyDescent="0.2">
      <c r="B34" s="48" t="s">
        <v>141</v>
      </c>
      <c r="C34" s="48"/>
      <c r="D34" s="70">
        <f t="shared" ref="D34:Y34" si="42">IFERROR(-D33/D22,"NM")</f>
        <v>0</v>
      </c>
      <c r="E34" s="70">
        <f t="shared" ca="1" si="42"/>
        <v>0.1</v>
      </c>
      <c r="F34" s="70">
        <f t="shared" ca="1" si="42"/>
        <v>9.9999999999999992E-2</v>
      </c>
      <c r="G34" s="70">
        <f t="shared" ca="1" si="42"/>
        <v>0.1</v>
      </c>
      <c r="H34" s="70">
        <f t="shared" ca="1" si="42"/>
        <v>0.1</v>
      </c>
      <c r="I34" s="70">
        <f t="shared" ca="1" si="42"/>
        <v>0.1</v>
      </c>
      <c r="J34" s="70">
        <f t="shared" ca="1" si="42"/>
        <v>9.9999999999999992E-2</v>
      </c>
      <c r="K34" s="70">
        <f t="shared" ca="1" si="42"/>
        <v>0.1</v>
      </c>
      <c r="L34" s="70">
        <f t="shared" ca="1" si="42"/>
        <v>0.1</v>
      </c>
      <c r="M34" s="70">
        <f t="shared" ca="1" si="42"/>
        <v>0.10000000000000002</v>
      </c>
      <c r="N34" s="70">
        <f t="shared" ca="1" si="42"/>
        <v>0.1</v>
      </c>
      <c r="O34" s="70">
        <f t="shared" ca="1" si="42"/>
        <v>0.1</v>
      </c>
      <c r="P34" s="70">
        <f t="shared" ca="1" si="42"/>
        <v>0.1</v>
      </c>
      <c r="Q34" s="70">
        <f t="shared" ca="1" si="42"/>
        <v>0.10000000000000003</v>
      </c>
      <c r="R34" s="70">
        <f t="shared" ca="1" si="42"/>
        <v>0.10000000000000016</v>
      </c>
      <c r="S34" s="70">
        <f t="shared" ca="1" si="42"/>
        <v>0.10000000000000014</v>
      </c>
      <c r="T34" s="70">
        <f t="shared" ca="1" si="42"/>
        <v>9.999999999999834E-2</v>
      </c>
      <c r="U34" s="70">
        <f t="shared" ca="1" si="42"/>
        <v>9.9999999999988431E-2</v>
      </c>
      <c r="V34" s="70">
        <f t="shared" ca="1" si="42"/>
        <v>9.9999999999951503E-2</v>
      </c>
      <c r="W34" s="70">
        <f t="shared" ca="1" si="42"/>
        <v>9.9999999999837316E-2</v>
      </c>
      <c r="X34" s="70">
        <f t="shared" ca="1" si="42"/>
        <v>9.9999999999518585E-2</v>
      </c>
      <c r="Y34" s="70">
        <f t="shared" ca="1" si="42"/>
        <v>9.9999999998679701E-2</v>
      </c>
      <c r="AA34" s="12"/>
      <c r="AB34" s="12"/>
      <c r="AC34" s="12"/>
      <c r="AD34" s="12"/>
      <c r="AE34" s="12"/>
    </row>
    <row r="35" spans="2:40" ht="4" customHeight="1" x14ac:dyDescent="0.2">
      <c r="B35" s="3"/>
      <c r="C35" s="3"/>
      <c r="D35" s="36"/>
      <c r="E35" s="23"/>
      <c r="F35" s="23"/>
      <c r="G35" s="23"/>
      <c r="H35" s="23"/>
      <c r="I35" s="23"/>
      <c r="J35" s="23"/>
      <c r="K35" s="23"/>
      <c r="L35" s="23"/>
      <c r="M35" s="23"/>
      <c r="N35" s="23"/>
      <c r="O35" s="23"/>
      <c r="P35" s="23"/>
      <c r="Q35" s="23"/>
      <c r="R35" s="23"/>
      <c r="S35" s="23"/>
      <c r="T35" s="23"/>
      <c r="U35" s="23"/>
      <c r="V35" s="23"/>
      <c r="W35" s="23"/>
      <c r="X35" s="23"/>
      <c r="Y35" s="23"/>
      <c r="AA35" s="12"/>
      <c r="AB35" s="12"/>
      <c r="AC35" s="12"/>
      <c r="AD35" s="12"/>
      <c r="AE35" s="12"/>
      <c r="AG35" s="15"/>
      <c r="AH35" s="15"/>
      <c r="AI35" s="15"/>
    </row>
    <row r="36" spans="2:40" x14ac:dyDescent="0.2">
      <c r="B36" s="134" t="s">
        <v>200</v>
      </c>
      <c r="C36" s="134"/>
      <c r="D36" s="176">
        <f t="shared" ref="D36:Y36" si="43">D28+D30</f>
        <v>1000</v>
      </c>
      <c r="E36" s="176">
        <f t="shared" ca="1" si="43"/>
        <v>1666.6666666666667</v>
      </c>
      <c r="F36" s="176">
        <f t="shared" ca="1" si="43"/>
        <v>2366.666666666667</v>
      </c>
      <c r="G36" s="176">
        <f t="shared" ca="1" si="43"/>
        <v>3526.962962962963</v>
      </c>
      <c r="H36" s="176">
        <f t="shared" ca="1" si="43"/>
        <v>5158.0042798353898</v>
      </c>
      <c r="I36" s="176">
        <f t="shared" ca="1" si="43"/>
        <v>7399.8319923182426</v>
      </c>
      <c r="J36" s="176">
        <f t="shared" ca="1" si="43"/>
        <v>10410.163201650967</v>
      </c>
      <c r="K36" s="176">
        <f t="shared" ca="1" si="43"/>
        <v>14355.499190215543</v>
      </c>
      <c r="L36" s="176">
        <f t="shared" ca="1" si="43"/>
        <v>19396.649163147318</v>
      </c>
      <c r="M36" s="176">
        <f t="shared" ca="1" si="43"/>
        <v>25668.347029971348</v>
      </c>
      <c r="N36" s="176">
        <f t="shared" ca="1" si="43"/>
        <v>33253.631884036244</v>
      </c>
      <c r="O36" s="176">
        <f t="shared" ca="1" si="43"/>
        <v>42154.99368037899</v>
      </c>
      <c r="P36" s="176">
        <f t="shared" ca="1" si="43"/>
        <v>52265.786846491523</v>
      </c>
      <c r="Q36" s="176">
        <f t="shared" ca="1" si="43"/>
        <v>63346.78895748021</v>
      </c>
      <c r="R36" s="176">
        <f t="shared" ca="1" si="43"/>
        <v>76931.155922806924</v>
      </c>
      <c r="S36" s="176">
        <f t="shared" ca="1" si="43"/>
        <v>93428.614915143364</v>
      </c>
      <c r="T36" s="176">
        <f t="shared" ca="1" si="43"/>
        <v>113463.86233583467</v>
      </c>
      <c r="U36" s="176">
        <f t="shared" ca="1" si="43"/>
        <v>137795.55725893922</v>
      </c>
      <c r="V36" s="176">
        <f t="shared" ca="1" si="43"/>
        <v>167345.04898208755</v>
      </c>
      <c r="W36" s="176">
        <f t="shared" ca="1" si="43"/>
        <v>203231.26504086232</v>
      </c>
      <c r="X36" s="176">
        <f t="shared" ca="1" si="43"/>
        <v>246813.08076354122</v>
      </c>
      <c r="Y36" s="176">
        <f t="shared" ca="1" si="43"/>
        <v>299740.77474002086</v>
      </c>
      <c r="AA36" s="136">
        <f ca="1">IFERROR((E36/D36)-1,"")</f>
        <v>0.66666666666666674</v>
      </c>
      <c r="AB36" s="136">
        <f ca="1">IFERROR((J36/D36)^(1/6)-1,"")</f>
        <v>0.47766591732415398</v>
      </c>
      <c r="AC36" s="136">
        <f ca="1">IFERROR((O36/D36)^(1/11)-1,"")</f>
        <v>0.40512042909271706</v>
      </c>
      <c r="AD36" s="136">
        <f ca="1">IFERROR((T36/D36)^(1/16)-1,"")</f>
        <v>0.34409076666848049</v>
      </c>
      <c r="AE36" s="136">
        <f ca="1">IFERROR((Y36/D36)^(1/21)-1,"")</f>
        <v>0.31201946247483714</v>
      </c>
      <c r="AG36" s="137"/>
      <c r="AH36" s="137"/>
    </row>
    <row r="38" spans="2:40" ht="16" x14ac:dyDescent="0.2">
      <c r="B38" s="315" t="s">
        <v>114</v>
      </c>
      <c r="C38" s="315"/>
      <c r="D38" s="315"/>
      <c r="E38" s="315"/>
      <c r="F38" s="315"/>
      <c r="G38" s="315"/>
      <c r="H38" s="315"/>
      <c r="I38" s="315"/>
      <c r="J38" s="315"/>
      <c r="K38" s="315"/>
      <c r="L38" s="315"/>
      <c r="M38" s="315"/>
      <c r="N38" s="315"/>
      <c r="O38" s="315"/>
      <c r="P38" s="315"/>
      <c r="Q38" s="315"/>
      <c r="R38" s="315"/>
      <c r="S38" s="315"/>
      <c r="T38" s="315"/>
      <c r="U38" s="315"/>
      <c r="V38" s="315"/>
      <c r="W38" s="315"/>
      <c r="X38" s="315"/>
      <c r="Y38" s="315"/>
      <c r="Z38" s="315"/>
      <c r="AA38" s="315"/>
      <c r="AB38" s="315"/>
      <c r="AC38" s="315"/>
      <c r="AD38" s="315"/>
      <c r="AE38" s="315"/>
      <c r="AF38" s="315"/>
      <c r="AG38" s="315"/>
      <c r="AH38" s="315"/>
      <c r="AI38" s="315"/>
      <c r="AJ38" s="315"/>
      <c r="AK38" s="315"/>
      <c r="AL38" s="315"/>
      <c r="AM38" s="315"/>
      <c r="AN38" s="315"/>
    </row>
    <row r="68" spans="2:40" ht="16" x14ac:dyDescent="0.2">
      <c r="B68" s="315" t="s">
        <v>115</v>
      </c>
      <c r="C68" s="315"/>
      <c r="D68" s="315"/>
      <c r="E68" s="315"/>
      <c r="F68" s="315"/>
      <c r="G68" s="315"/>
      <c r="H68" s="315"/>
      <c r="I68" s="315"/>
      <c r="J68" s="315"/>
      <c r="K68" s="315"/>
      <c r="L68" s="315"/>
      <c r="M68" s="315"/>
      <c r="N68" s="315"/>
      <c r="O68" s="315"/>
      <c r="P68" s="315"/>
      <c r="Q68" s="315"/>
      <c r="R68" s="315"/>
      <c r="S68" s="315"/>
      <c r="T68" s="315"/>
      <c r="U68" s="315"/>
      <c r="V68" s="315"/>
      <c r="W68" s="315"/>
      <c r="X68" s="315"/>
      <c r="Y68" s="315"/>
      <c r="Z68" s="315"/>
      <c r="AA68" s="315"/>
      <c r="AB68" s="315"/>
      <c r="AC68" s="315"/>
      <c r="AD68" s="315"/>
      <c r="AE68" s="315"/>
      <c r="AF68" s="315"/>
      <c r="AG68" s="315"/>
      <c r="AH68" s="315"/>
      <c r="AI68" s="315"/>
      <c r="AJ68" s="315"/>
      <c r="AK68" s="315"/>
      <c r="AL68" s="315"/>
      <c r="AM68" s="315"/>
      <c r="AN68" s="315"/>
    </row>
    <row r="69" spans="2:40" x14ac:dyDescent="0.2">
      <c r="C69" s="78">
        <f ca="1">$Y$36/10^3</f>
        <v>299.74077474002087</v>
      </c>
      <c r="D69" s="75">
        <f ca="1">$AE$36</f>
        <v>0.31201946247483714</v>
      </c>
      <c r="E69" s="99">
        <f ca="1">$Y$19/10^3</f>
        <v>24.376666626322425</v>
      </c>
    </row>
    <row r="70" spans="2:40" x14ac:dyDescent="0.2">
      <c r="B70" t="s">
        <v>3</v>
      </c>
      <c r="C70" s="78">
        <f t="dataTable" ref="C70:E74" dt2D="0" dtr="0" r1="T1" ca="1"/>
        <v>4.4465850165411007</v>
      </c>
      <c r="D70" s="75">
        <v>7.3639322987413491E-2</v>
      </c>
      <c r="E70" s="99">
        <v>0</v>
      </c>
    </row>
    <row r="71" spans="2:40" x14ac:dyDescent="0.2">
      <c r="B71" t="s">
        <v>4</v>
      </c>
      <c r="C71" s="78">
        <v>24.616643639091951</v>
      </c>
      <c r="D71" s="75">
        <v>0.16479364449116396</v>
      </c>
      <c r="E71" s="99">
        <v>1.5384615384615385</v>
      </c>
    </row>
    <row r="72" spans="2:40" x14ac:dyDescent="0.2">
      <c r="B72" t="s">
        <v>5</v>
      </c>
      <c r="C72" s="78">
        <v>105.29687812929535</v>
      </c>
      <c r="D72" s="75">
        <v>0.24826128143342041</v>
      </c>
      <c r="E72" s="99">
        <v>7.6923076923076943</v>
      </c>
    </row>
    <row r="73" spans="2:40" x14ac:dyDescent="0.2">
      <c r="B73" t="s">
        <v>6</v>
      </c>
      <c r="C73" s="78">
        <v>206.14717124204964</v>
      </c>
      <c r="D73" s="75">
        <v>0.28883975252734717</v>
      </c>
      <c r="E73" s="99">
        <v>15.384615384615389</v>
      </c>
    </row>
    <row r="74" spans="2:40" x14ac:dyDescent="0.2">
      <c r="B74" t="s">
        <v>7</v>
      </c>
      <c r="C74" s="78">
        <v>299.74077556681925</v>
      </c>
      <c r="D74" s="75">
        <v>0.31201946264717262</v>
      </c>
      <c r="E74" s="99">
        <v>24.376666656998218</v>
      </c>
    </row>
  </sheetData>
  <mergeCells count="11">
    <mergeCell ref="B68:AN68"/>
    <mergeCell ref="AA16:AE16"/>
    <mergeCell ref="AG16:AH16"/>
    <mergeCell ref="B3:AH3"/>
    <mergeCell ref="B15:AH15"/>
    <mergeCell ref="B38:AN38"/>
    <mergeCell ref="AJ3:AN3"/>
    <mergeCell ref="AM4:AM5"/>
    <mergeCell ref="AN4:AN5"/>
    <mergeCell ref="AK4:AK5"/>
    <mergeCell ref="AL4:AL5"/>
  </mergeCells>
  <conditionalFormatting sqref="D11:T11">
    <cfRule type="expression" dxfId="3" priority="7">
      <formula>D11=$T$1</formula>
    </cfRule>
  </conditionalFormatting>
  <hyperlinks>
    <hyperlink ref="AG1" location="SelectedCase" display="SelectedCase" xr:uid="{8A358407-E1E2-461E-A6CB-8D65779577D7}"/>
  </hyperlinks>
  <pageMargins left="0.7" right="0.7" top="0.75" bottom="0.75" header="0.3" footer="0.3"/>
  <pageSetup scale="40"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76A430ED-F52F-4F6E-83CC-3AFB501CDD8F}">
          <x14:formula1>
            <xm:f>Cover!$A$5:$E$5</xm:f>
          </x14:formula1>
          <xm:sqref>T1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428AA-4E5A-43B6-B942-C14132109702}">
  <sheetPr codeName="Sheet9">
    <tabColor theme="5" tint="0.79998168889431442"/>
    <pageSetUpPr fitToPage="1"/>
  </sheetPr>
  <dimension ref="B1:AW84"/>
  <sheetViews>
    <sheetView showGridLines="0" zoomScale="140" zoomScaleNormal="140" zoomScaleSheetLayoutView="115" workbookViewId="0">
      <pane ySplit="1" topLeftCell="A2" activePane="bottomLeft" state="frozen"/>
      <selection pane="bottomLeft"/>
    </sheetView>
  </sheetViews>
  <sheetFormatPr baseColWidth="10" defaultColWidth="8.83203125" defaultRowHeight="15" outlineLevelRow="1" outlineLevelCol="1" x14ac:dyDescent="0.2"/>
  <cols>
    <col min="1" max="1" width="0.83203125" customWidth="1"/>
    <col min="2" max="5" width="12.33203125" customWidth="1"/>
    <col min="6" max="9" width="14.5" hidden="1" customWidth="1" outlineLevel="1"/>
    <col min="10" max="10" width="12.33203125" customWidth="1" collapsed="1"/>
    <col min="11" max="14" width="14.5" hidden="1" customWidth="1" outlineLevel="1"/>
    <col min="15" max="15" width="12.33203125" customWidth="1" collapsed="1"/>
    <col min="16" max="19" width="14.5" hidden="1" customWidth="1" outlineLevel="1"/>
    <col min="20" max="20" width="12.33203125" customWidth="1" collapsed="1"/>
    <col min="21" max="24" width="14.5" hidden="1" customWidth="1" outlineLevel="1"/>
    <col min="25" max="25" width="12.33203125" customWidth="1" collapsed="1"/>
    <col min="26" max="26" width="1.6640625" customWidth="1"/>
    <col min="27" max="30" width="8.83203125" hidden="1" customWidth="1" outlineLevel="1"/>
    <col min="31" max="31" width="11.6640625" customWidth="1" collapsed="1"/>
    <col min="32" max="32" width="1.6640625" customWidth="1"/>
    <col min="33" max="35" width="8.83203125" hidden="1" customWidth="1" outlineLevel="1"/>
    <col min="36" max="36" width="11.83203125" customWidth="1" collapsed="1"/>
    <col min="37" max="42" width="11.83203125" customWidth="1"/>
    <col min="43" max="43" width="11.1640625" bestFit="1" customWidth="1"/>
    <col min="53" max="53" width="9.5" bestFit="1" customWidth="1"/>
    <col min="54" max="54" width="8.83203125" bestFit="1" customWidth="1"/>
    <col min="55" max="56" width="9.1640625" bestFit="1" customWidth="1"/>
    <col min="57" max="58" width="10.1640625" bestFit="1" customWidth="1"/>
  </cols>
  <sheetData>
    <row r="1" spans="2:49" ht="27" x14ac:dyDescent="0.35">
      <c r="B1" s="267" t="s">
        <v>20</v>
      </c>
      <c r="C1" s="267"/>
      <c r="D1" s="294" t="s">
        <v>15</v>
      </c>
      <c r="E1" s="147"/>
      <c r="F1" s="268"/>
      <c r="G1" s="268"/>
      <c r="H1" s="268"/>
      <c r="I1" s="268"/>
      <c r="J1" s="268"/>
      <c r="K1" s="147"/>
      <c r="L1" s="147"/>
      <c r="M1" s="147"/>
      <c r="N1" s="147"/>
      <c r="O1" s="275" t="s">
        <v>85</v>
      </c>
      <c r="P1" s="147"/>
      <c r="Q1" s="147"/>
      <c r="R1" s="147"/>
      <c r="S1" s="147"/>
      <c r="T1" s="197" t="s">
        <v>7</v>
      </c>
      <c r="U1" s="147"/>
      <c r="V1" s="147"/>
      <c r="W1" s="147"/>
      <c r="X1" s="147"/>
      <c r="Y1" s="147"/>
      <c r="Z1" s="147"/>
      <c r="AA1" s="147"/>
      <c r="AB1" s="147"/>
      <c r="AC1" s="147"/>
      <c r="AD1" s="147"/>
      <c r="AE1" s="277" t="s">
        <v>86</v>
      </c>
      <c r="AF1" s="270"/>
      <c r="AG1" s="147"/>
      <c r="AH1" s="147"/>
      <c r="AI1" s="147"/>
      <c r="AJ1" s="276" t="str">
        <f>SelectedCase</f>
        <v>Base</v>
      </c>
      <c r="AK1" s="147"/>
      <c r="AL1" s="147"/>
      <c r="AM1" s="147"/>
      <c r="AN1" s="147"/>
    </row>
    <row r="2" spans="2:49" ht="4" customHeight="1" x14ac:dyDescent="0.2"/>
    <row r="3" spans="2:49" ht="16" x14ac:dyDescent="0.2">
      <c r="B3" s="315" t="s">
        <v>21</v>
      </c>
      <c r="C3" s="315"/>
      <c r="D3" s="315"/>
      <c r="E3" s="315"/>
      <c r="F3" s="315"/>
      <c r="G3" s="315"/>
      <c r="H3" s="315"/>
      <c r="I3" s="315"/>
      <c r="J3" s="315"/>
      <c r="K3" s="315"/>
      <c r="L3" s="315"/>
      <c r="M3" s="315"/>
      <c r="N3" s="315"/>
      <c r="O3" s="315"/>
      <c r="P3" s="315"/>
      <c r="Q3" s="315"/>
      <c r="R3" s="315"/>
      <c r="S3" s="315"/>
      <c r="T3" s="315"/>
      <c r="U3" s="315"/>
      <c r="V3" s="315"/>
      <c r="W3" s="315"/>
      <c r="X3" s="315"/>
      <c r="Y3" s="315"/>
      <c r="Z3" s="315"/>
      <c r="AA3" s="315"/>
      <c r="AB3" s="315"/>
      <c r="AC3" s="315"/>
      <c r="AD3" s="315"/>
      <c r="AE3" s="315"/>
      <c r="AJ3" s="315" t="s">
        <v>87</v>
      </c>
      <c r="AK3" s="315"/>
      <c r="AL3" s="315"/>
      <c r="AM3" s="315"/>
      <c r="AN3" s="315"/>
    </row>
    <row r="4" spans="2:49" ht="16" x14ac:dyDescent="0.2">
      <c r="B4" t="s">
        <v>88</v>
      </c>
      <c r="D4" s="184">
        <v>0</v>
      </c>
      <c r="J4" s="183" t="s">
        <v>89</v>
      </c>
      <c r="Y4" s="183" t="s">
        <v>201</v>
      </c>
      <c r="AJ4" s="185" t="s">
        <v>35</v>
      </c>
      <c r="AK4" s="195" t="s">
        <v>91</v>
      </c>
      <c r="AL4" s="195" t="s">
        <v>92</v>
      </c>
      <c r="AM4" s="185" t="s">
        <v>93</v>
      </c>
      <c r="AN4" s="195" t="s">
        <v>94</v>
      </c>
    </row>
    <row r="5" spans="2:49" x14ac:dyDescent="0.2">
      <c r="B5" t="s">
        <v>202</v>
      </c>
      <c r="D5" s="173">
        <v>120</v>
      </c>
      <c r="J5" s="48" t="s">
        <v>42</v>
      </c>
      <c r="O5" s="104">
        <v>0.625</v>
      </c>
      <c r="Y5" t="s">
        <v>203</v>
      </c>
      <c r="AE5" s="104">
        <v>0.1</v>
      </c>
      <c r="AJ5" s="11">
        <v>2024</v>
      </c>
      <c r="AK5" s="238">
        <f t="shared" ref="AK5:AK34" si="0">HLOOKUP($AJ5,$D$19:$Y$46,21)/10^3</f>
        <v>0.08</v>
      </c>
      <c r="AL5" s="238">
        <f t="shared" ref="AL5:AL34" si="1">HLOOKUP($AJ5,$D$19:$Y$46,25)/10^3</f>
        <v>-0.4002</v>
      </c>
      <c r="AM5" s="238">
        <f t="shared" ref="AM5:AM34" si="2">HLOOKUP($AJ5,$D$19:$Y$46,28)/10^3</f>
        <v>-0.32019999999999998</v>
      </c>
      <c r="AN5" s="288">
        <f t="shared" ref="AN5:AN34" si="3">HLOOKUP($AJ5,$D$19:$Y$46,3)/10^3</f>
        <v>0</v>
      </c>
    </row>
    <row r="6" spans="2:49" x14ac:dyDescent="0.2">
      <c r="B6" t="s">
        <v>204</v>
      </c>
      <c r="D6" s="173">
        <v>-135</v>
      </c>
      <c r="J6" s="48" t="s">
        <v>46</v>
      </c>
      <c r="O6" s="104">
        <v>0</v>
      </c>
      <c r="Y6" t="s">
        <v>205</v>
      </c>
      <c r="AE6" s="104">
        <v>0.1</v>
      </c>
      <c r="AJ6" s="188">
        <v>2025</v>
      </c>
      <c r="AK6" s="239">
        <f t="shared" si="0"/>
        <v>0.10917278869778871</v>
      </c>
      <c r="AL6" s="239">
        <f t="shared" si="1"/>
        <v>-0.47111399999999998</v>
      </c>
      <c r="AM6" s="239">
        <f t="shared" si="2"/>
        <v>-0.3619412113022113</v>
      </c>
      <c r="AN6" s="289">
        <f t="shared" si="3"/>
        <v>475.89743589743591</v>
      </c>
      <c r="AW6" s="75"/>
    </row>
    <row r="7" spans="2:49" x14ac:dyDescent="0.2">
      <c r="B7" t="s">
        <v>206</v>
      </c>
      <c r="D7" s="173">
        <v>-360</v>
      </c>
      <c r="J7" s="48" t="s">
        <v>51</v>
      </c>
      <c r="O7" s="226">
        <v>0.375</v>
      </c>
      <c r="AJ7" s="11">
        <v>2026</v>
      </c>
      <c r="AK7" s="238">
        <f t="shared" si="0"/>
        <v>0.16220032023435099</v>
      </c>
      <c r="AL7" s="238">
        <f t="shared" si="1"/>
        <v>-0.55128197999999995</v>
      </c>
      <c r="AM7" s="238">
        <f t="shared" si="2"/>
        <v>-0.38908165976564896</v>
      </c>
      <c r="AN7" s="288">
        <f t="shared" si="3"/>
        <v>823.32386196792982</v>
      </c>
    </row>
    <row r="8" spans="2:49" x14ac:dyDescent="0.2">
      <c r="B8" t="s">
        <v>207</v>
      </c>
      <c r="D8" s="104">
        <v>7.0000000000000007E-2</v>
      </c>
      <c r="J8" s="21" t="s">
        <v>58</v>
      </c>
      <c r="K8" s="21"/>
      <c r="L8" s="21"/>
      <c r="M8" s="21"/>
      <c r="N8" s="21"/>
      <c r="O8" s="231">
        <f>SUM(O5:O7)</f>
        <v>1</v>
      </c>
      <c r="AJ8" s="11">
        <v>2027</v>
      </c>
      <c r="AK8" s="238">
        <f t="shared" si="0"/>
        <v>0.24845248701611528</v>
      </c>
      <c r="AL8" s="238">
        <f t="shared" si="1"/>
        <v>-0.64178071859999997</v>
      </c>
      <c r="AM8" s="238">
        <f t="shared" si="2"/>
        <v>-0.39332823158388475</v>
      </c>
      <c r="AN8" s="288">
        <f t="shared" si="3"/>
        <v>1081.5241822726564</v>
      </c>
    </row>
    <row r="9" spans="2:49" x14ac:dyDescent="0.2">
      <c r="B9" t="s">
        <v>208</v>
      </c>
      <c r="D9" s="173">
        <v>80</v>
      </c>
      <c r="O9" s="42"/>
      <c r="AJ9" s="11">
        <v>2028</v>
      </c>
      <c r="AK9" s="238">
        <f t="shared" si="0"/>
        <v>0.37944037621149229</v>
      </c>
      <c r="AL9" s="238">
        <f t="shared" si="1"/>
        <v>-0.74380526890200005</v>
      </c>
      <c r="AM9" s="238">
        <f t="shared" si="2"/>
        <v>-0.36436489269050781</v>
      </c>
      <c r="AN9" s="288">
        <f t="shared" si="3"/>
        <v>1276.9210302859201</v>
      </c>
    </row>
    <row r="10" spans="2:49" x14ac:dyDescent="0.2">
      <c r="D10" s="35" t="s">
        <v>3</v>
      </c>
      <c r="E10" s="35" t="s">
        <v>4</v>
      </c>
      <c r="J10" s="35" t="s">
        <v>5</v>
      </c>
      <c r="O10" s="35" t="s">
        <v>6</v>
      </c>
      <c r="T10" s="35" t="s">
        <v>7</v>
      </c>
      <c r="V10" t="str">
        <f>T1</f>
        <v>Triple Maxi</v>
      </c>
      <c r="AJ10" s="11">
        <v>2029</v>
      </c>
      <c r="AK10" s="238">
        <f t="shared" si="0"/>
        <v>0.5698687666960891</v>
      </c>
      <c r="AL10" s="238">
        <f t="shared" si="1"/>
        <v>-0.85868152772514006</v>
      </c>
      <c r="AM10" s="238">
        <f t="shared" si="2"/>
        <v>-0.28881276102905101</v>
      </c>
      <c r="AN10" s="288">
        <f t="shared" si="3"/>
        <v>1369.8320291786472</v>
      </c>
    </row>
    <row r="11" spans="2:49" x14ac:dyDescent="0.2">
      <c r="B11" t="s">
        <v>132</v>
      </c>
      <c r="D11" s="104">
        <v>0</v>
      </c>
      <c r="E11" s="104">
        <v>0.1</v>
      </c>
      <c r="J11" s="104">
        <v>0.35</v>
      </c>
      <c r="O11" s="104">
        <v>0.65</v>
      </c>
      <c r="T11" s="104">
        <v>1</v>
      </c>
      <c r="V11" s="19">
        <f>INDEX($B$10:$T$15,MATCH(B11,$B$10:$B$15,0),MATCH($V$10,$B$10:$T$10,0))</f>
        <v>1</v>
      </c>
      <c r="AJ11" s="188">
        <v>2030</v>
      </c>
      <c r="AK11" s="239">
        <f t="shared" si="0"/>
        <v>0.82608701820712249</v>
      </c>
      <c r="AL11" s="239">
        <f t="shared" si="1"/>
        <v>-0.98788011366589989</v>
      </c>
      <c r="AM11" s="239">
        <f t="shared" si="2"/>
        <v>-0.16179309545877743</v>
      </c>
      <c r="AN11" s="289">
        <f t="shared" si="3"/>
        <v>1444.1608282928287</v>
      </c>
    </row>
    <row r="12" spans="2:49" x14ac:dyDescent="0.2">
      <c r="B12" t="s">
        <v>209</v>
      </c>
      <c r="D12" s="232">
        <v>0</v>
      </c>
      <c r="E12" s="232">
        <v>1</v>
      </c>
      <c r="J12" s="232">
        <v>2</v>
      </c>
      <c r="O12" s="232">
        <v>4</v>
      </c>
      <c r="T12" s="232">
        <v>4</v>
      </c>
      <c r="V12" s="81">
        <f>INDEX($B$10:$T$15,MATCH(B12,$B$10:$B$15,0),MATCH($V$10,$B$10:$T$10,0))</f>
        <v>4</v>
      </c>
      <c r="AJ12" s="11">
        <v>2031</v>
      </c>
      <c r="AK12" s="238">
        <f t="shared" si="0"/>
        <v>1.1619866849796152</v>
      </c>
      <c r="AL12" s="238">
        <f t="shared" si="1"/>
        <v>-1.1330316885225129</v>
      </c>
      <c r="AM12" s="238">
        <f t="shared" si="2"/>
        <v>2.8954996457102197E-2</v>
      </c>
      <c r="AN12" s="288">
        <f t="shared" si="3"/>
        <v>1504.7250349784581</v>
      </c>
    </row>
    <row r="13" spans="2:49" ht="15" hidden="1" customHeight="1" outlineLevel="1" x14ac:dyDescent="0.2">
      <c r="B13" t="s">
        <v>210</v>
      </c>
      <c r="D13" s="83"/>
      <c r="E13" s="42"/>
      <c r="J13" s="42"/>
      <c r="O13" s="42"/>
      <c r="T13" s="42"/>
      <c r="V13" s="42">
        <f>V11/V12</f>
        <v>0.25</v>
      </c>
      <c r="AK13" t="e">
        <f t="shared" si="0"/>
        <v>#N/A</v>
      </c>
      <c r="AL13" t="e">
        <f t="shared" si="1"/>
        <v>#N/A</v>
      </c>
      <c r="AM13" t="e">
        <f t="shared" si="2"/>
        <v>#N/A</v>
      </c>
      <c r="AN13" s="290" t="e">
        <f t="shared" si="3"/>
        <v>#N/A</v>
      </c>
    </row>
    <row r="14" spans="2:49" ht="15" hidden="1" customHeight="1" outlineLevel="1" collapsed="1" x14ac:dyDescent="0.2">
      <c r="B14" t="s">
        <v>211</v>
      </c>
      <c r="D14" s="104">
        <v>0</v>
      </c>
      <c r="E14" s="104">
        <v>0.1</v>
      </c>
      <c r="J14" s="104">
        <v>0.35</v>
      </c>
      <c r="O14" s="104">
        <v>0.65</v>
      </c>
      <c r="T14" s="104">
        <v>1</v>
      </c>
      <c r="V14" s="19">
        <f>INDEX($B$10:$T$15,MATCH(B14,$B$10:$B$15,0),MATCH($V$10,$B$10:$T$10,0))</f>
        <v>1</v>
      </c>
      <c r="AK14" t="e">
        <f t="shared" si="0"/>
        <v>#N/A</v>
      </c>
      <c r="AL14" t="e">
        <f t="shared" si="1"/>
        <v>#N/A</v>
      </c>
      <c r="AM14" t="e">
        <f t="shared" si="2"/>
        <v>#N/A</v>
      </c>
      <c r="AN14" s="290" t="e">
        <f t="shared" si="3"/>
        <v>#N/A</v>
      </c>
    </row>
    <row r="15" spans="2:49" collapsed="1" x14ac:dyDescent="0.2">
      <c r="B15" t="s">
        <v>212</v>
      </c>
      <c r="D15" s="104">
        <v>0</v>
      </c>
      <c r="E15" s="104">
        <v>0</v>
      </c>
      <c r="J15" s="104">
        <v>0</v>
      </c>
      <c r="O15" s="104">
        <v>0.1</v>
      </c>
      <c r="T15" s="104">
        <v>0.2</v>
      </c>
      <c r="V15" s="19">
        <f>INDEX($B$10:$T$15,MATCH(B15,$B$10:$B$15,0),MATCH($V$10,$B$10:$T$10,0))</f>
        <v>0.2</v>
      </c>
      <c r="AJ15" s="11">
        <v>2032</v>
      </c>
      <c r="AK15" s="238">
        <f t="shared" si="0"/>
        <v>1.5910784890379897</v>
      </c>
      <c r="AL15" s="238">
        <f t="shared" si="1"/>
        <v>-1.2959438703090889</v>
      </c>
      <c r="AM15" s="238">
        <f t="shared" si="2"/>
        <v>0.29513461872890068</v>
      </c>
      <c r="AN15" s="288">
        <f t="shared" si="3"/>
        <v>1555.0047537363394</v>
      </c>
    </row>
    <row r="16" spans="2:49" x14ac:dyDescent="0.2">
      <c r="AJ16" s="11">
        <v>2033</v>
      </c>
      <c r="AK16" s="238">
        <f t="shared" si="0"/>
        <v>2.1249927803333861</v>
      </c>
      <c r="AL16" s="238">
        <f t="shared" si="1"/>
        <v>-1.4786199011797252</v>
      </c>
      <c r="AM16" s="238">
        <f t="shared" si="2"/>
        <v>0.64637287915366093</v>
      </c>
      <c r="AN16" s="288">
        <f t="shared" si="3"/>
        <v>1597.5491311468541</v>
      </c>
    </row>
    <row r="17" spans="2:42" ht="16" x14ac:dyDescent="0.2">
      <c r="B17" s="315" t="s">
        <v>55</v>
      </c>
      <c r="C17" s="315"/>
      <c r="D17" s="315"/>
      <c r="E17" s="315"/>
      <c r="F17" s="315"/>
      <c r="G17" s="315"/>
      <c r="H17" s="315"/>
      <c r="I17" s="315"/>
      <c r="J17" s="315"/>
      <c r="K17" s="315"/>
      <c r="L17" s="315"/>
      <c r="M17" s="315"/>
      <c r="N17" s="315"/>
      <c r="O17" s="315"/>
      <c r="P17" s="315"/>
      <c r="Q17" s="315"/>
      <c r="R17" s="315"/>
      <c r="S17" s="315"/>
      <c r="T17" s="315"/>
      <c r="U17" s="315"/>
      <c r="V17" s="315"/>
      <c r="W17" s="315"/>
      <c r="X17" s="315"/>
      <c r="Y17" s="315"/>
      <c r="Z17" s="315"/>
      <c r="AA17" s="315"/>
      <c r="AB17" s="315"/>
      <c r="AC17" s="315"/>
      <c r="AD17" s="315"/>
      <c r="AE17" s="315"/>
      <c r="AG17" s="204"/>
      <c r="AH17" s="204"/>
      <c r="AJ17" s="11">
        <v>2034</v>
      </c>
      <c r="AK17" s="238">
        <f t="shared" si="0"/>
        <v>2.7716156139674673</v>
      </c>
      <c r="AL17" s="238">
        <f t="shared" si="1"/>
        <v>-1.6832792502062062</v>
      </c>
      <c r="AM17" s="238">
        <f t="shared" si="2"/>
        <v>1.0883363637612611</v>
      </c>
      <c r="AN17" s="288">
        <f t="shared" si="3"/>
        <v>1634.2540842069061</v>
      </c>
    </row>
    <row r="18" spans="2:42" x14ac:dyDescent="0.2">
      <c r="B18" s="211"/>
      <c r="C18" s="211"/>
      <c r="D18" s="144" t="s">
        <v>35</v>
      </c>
      <c r="E18" s="144"/>
      <c r="F18" s="144"/>
      <c r="G18" s="144"/>
      <c r="H18" s="144"/>
      <c r="I18" s="144"/>
      <c r="J18" s="144"/>
      <c r="K18" s="144"/>
      <c r="L18" s="144"/>
      <c r="M18" s="144"/>
      <c r="N18" s="144"/>
      <c r="O18" s="144"/>
      <c r="P18" s="144"/>
      <c r="Q18" s="144"/>
      <c r="R18" s="144"/>
      <c r="S18" s="144"/>
      <c r="T18" s="144"/>
      <c r="U18" s="144"/>
      <c r="V18" s="144"/>
      <c r="W18" s="144"/>
      <c r="X18" s="144"/>
      <c r="Y18" s="144"/>
      <c r="AA18" s="316" t="s">
        <v>56</v>
      </c>
      <c r="AB18" s="316"/>
      <c r="AC18" s="316"/>
      <c r="AD18" s="316"/>
      <c r="AE18" s="316"/>
      <c r="AF18" s="10"/>
      <c r="AH18" s="320" t="s">
        <v>105</v>
      </c>
      <c r="AI18" s="320"/>
      <c r="AJ18" s="188">
        <v>2035</v>
      </c>
      <c r="AK18" s="237">
        <f t="shared" si="0"/>
        <v>3.532994318405974</v>
      </c>
      <c r="AL18" s="237">
        <f t="shared" si="1"/>
        <v>-1.9123803492589306</v>
      </c>
      <c r="AM18" s="237">
        <f t="shared" si="2"/>
        <v>1.6206139691470431</v>
      </c>
      <c r="AN18" s="289">
        <f t="shared" si="3"/>
        <v>1666.5544428997518</v>
      </c>
    </row>
    <row r="19" spans="2:42" x14ac:dyDescent="0.2">
      <c r="B19" s="175" t="s">
        <v>213</v>
      </c>
      <c r="C19" s="211"/>
      <c r="D19" s="128">
        <f>Macro!C17</f>
        <v>2024</v>
      </c>
      <c r="E19" s="128">
        <f>Macro!D17</f>
        <v>2025</v>
      </c>
      <c r="F19" s="128">
        <f>Macro!E17</f>
        <v>2026</v>
      </c>
      <c r="G19" s="128">
        <f>Macro!F17</f>
        <v>2027</v>
      </c>
      <c r="H19" s="128">
        <f>Macro!G17</f>
        <v>2028</v>
      </c>
      <c r="I19" s="128">
        <f>Macro!H17</f>
        <v>2029</v>
      </c>
      <c r="J19" s="128">
        <f>Macro!I17</f>
        <v>2030</v>
      </c>
      <c r="K19" s="128">
        <f>Macro!J17</f>
        <v>2031</v>
      </c>
      <c r="L19" s="128">
        <f>Macro!K17</f>
        <v>2032</v>
      </c>
      <c r="M19" s="128">
        <f>Macro!L17</f>
        <v>2033</v>
      </c>
      <c r="N19" s="128">
        <f>Macro!M17</f>
        <v>2034</v>
      </c>
      <c r="O19" s="128">
        <f>Macro!N17</f>
        <v>2035</v>
      </c>
      <c r="P19" s="128">
        <f>Macro!O17</f>
        <v>2036</v>
      </c>
      <c r="Q19" s="128">
        <f>Macro!P17</f>
        <v>2037</v>
      </c>
      <c r="R19" s="128">
        <f>Macro!Q17</f>
        <v>2038</v>
      </c>
      <c r="S19" s="128">
        <f>Macro!R17</f>
        <v>2039</v>
      </c>
      <c r="T19" s="128">
        <f>Macro!S17</f>
        <v>2040</v>
      </c>
      <c r="U19" s="128">
        <f>Macro!T17</f>
        <v>2041</v>
      </c>
      <c r="V19" s="128">
        <f>Macro!U17</f>
        <v>2042</v>
      </c>
      <c r="W19" s="128">
        <f>Macro!V17</f>
        <v>2043</v>
      </c>
      <c r="X19" s="128">
        <f>Macro!W17</f>
        <v>2044</v>
      </c>
      <c r="Y19" s="128">
        <f>Macro!X17</f>
        <v>2045</v>
      </c>
      <c r="Z19" s="11"/>
      <c r="AA19" s="128" t="s">
        <v>59</v>
      </c>
      <c r="AB19" s="128" t="s">
        <v>60</v>
      </c>
      <c r="AC19" s="128" t="s">
        <v>61</v>
      </c>
      <c r="AD19" s="128" t="s">
        <v>62</v>
      </c>
      <c r="AE19" s="128" t="s">
        <v>63</v>
      </c>
      <c r="AF19" s="10"/>
      <c r="AG19" s="10"/>
      <c r="AH19" s="10">
        <f>D19</f>
        <v>2024</v>
      </c>
      <c r="AI19" s="10">
        <f>Y19</f>
        <v>2045</v>
      </c>
      <c r="AJ19" s="11">
        <v>2036</v>
      </c>
      <c r="AK19" s="236">
        <f t="shared" si="0"/>
        <v>4.4032403210886217</v>
      </c>
      <c r="AL19" s="236">
        <f t="shared" si="1"/>
        <v>-2.1686456803991749</v>
      </c>
      <c r="AM19" s="236">
        <f t="shared" si="2"/>
        <v>2.2345946406894464</v>
      </c>
      <c r="AN19" s="288">
        <f t="shared" si="3"/>
        <v>1695.5588466239399</v>
      </c>
    </row>
    <row r="20" spans="2:42" x14ac:dyDescent="0.2">
      <c r="B20" t="s">
        <v>108</v>
      </c>
      <c r="D20" s="37"/>
      <c r="E20" s="37">
        <f t="shared" ref="E20:Y20" si="4">(SUM(D36:D38)*E31+MAX(E27,0)*$V$14+E29)/E22*10^6</f>
        <v>475897.43589743593</v>
      </c>
      <c r="F20" s="37">
        <f t="shared" si="4"/>
        <v>347426.42607049388</v>
      </c>
      <c r="G20" s="37">
        <f t="shared" si="4"/>
        <v>258200.32030472645</v>
      </c>
      <c r="H20" s="37">
        <f t="shared" si="4"/>
        <v>195396.84801326354</v>
      </c>
      <c r="I20" s="37">
        <f t="shared" si="4"/>
        <v>92910.99889272709</v>
      </c>
      <c r="J20" s="37">
        <f t="shared" si="4"/>
        <v>74328.799114181675</v>
      </c>
      <c r="K20" s="37">
        <f t="shared" si="4"/>
        <v>60564.206685629542</v>
      </c>
      <c r="L20" s="37">
        <f t="shared" si="4"/>
        <v>50279.71875788115</v>
      </c>
      <c r="M20" s="37">
        <f t="shared" si="4"/>
        <v>42544.377410514826</v>
      </c>
      <c r="N20" s="37">
        <f t="shared" si="4"/>
        <v>36704.953060052008</v>
      </c>
      <c r="O20" s="37">
        <f t="shared" si="4"/>
        <v>32300.358692845773</v>
      </c>
      <c r="P20" s="37">
        <f t="shared" si="4"/>
        <v>29004.403724188047</v>
      </c>
      <c r="Q20" s="37">
        <f t="shared" si="4"/>
        <v>26587.370080505712</v>
      </c>
      <c r="R20" s="37">
        <f t="shared" si="4"/>
        <v>24371.755907130242</v>
      </c>
      <c r="S20" s="37">
        <f t="shared" si="4"/>
        <v>22340.776248202721</v>
      </c>
      <c r="T20" s="37">
        <f t="shared" si="4"/>
        <v>20479.04489418583</v>
      </c>
      <c r="U20" s="37">
        <f t="shared" si="4"/>
        <v>18772.457819670348</v>
      </c>
      <c r="V20" s="37">
        <f t="shared" si="4"/>
        <v>17208.086334697819</v>
      </c>
      <c r="W20" s="37">
        <f t="shared" si="4"/>
        <v>15774.079140139671</v>
      </c>
      <c r="X20" s="37">
        <f t="shared" si="4"/>
        <v>14459.572545128034</v>
      </c>
      <c r="Y20" s="37">
        <f t="shared" si="4"/>
        <v>13254.608166367367</v>
      </c>
      <c r="AA20" s="12" t="str">
        <f>IFERROR((E20/D20)-1,"")</f>
        <v/>
      </c>
      <c r="AB20" s="12" t="str">
        <f>IFERROR((J20/D20)^(1/6)-1,"")</f>
        <v/>
      </c>
      <c r="AC20" s="12" t="str">
        <f>IFERROR((O20/D20)^(1/11)-1,"")</f>
        <v/>
      </c>
      <c r="AD20" s="12" t="str">
        <f>IFERROR((T20/D20)^(1/16)-1,"")</f>
        <v/>
      </c>
      <c r="AE20" s="12"/>
      <c r="AF20" s="12"/>
      <c r="AJ20" s="11">
        <v>2037</v>
      </c>
      <c r="AK20" s="236">
        <f t="shared" si="0"/>
        <v>5.3667428944517805</v>
      </c>
      <c r="AL20" s="236">
        <f t="shared" si="1"/>
        <v>-2.4550894553884484</v>
      </c>
      <c r="AM20" s="236">
        <f t="shared" si="2"/>
        <v>2.9116534390633322</v>
      </c>
      <c r="AN20" s="288">
        <f t="shared" si="3"/>
        <v>1722.1462167044456</v>
      </c>
    </row>
    <row r="21" spans="2:42" x14ac:dyDescent="0.2">
      <c r="B21" s="52" t="s">
        <v>109</v>
      </c>
      <c r="C21" s="52"/>
      <c r="D21" s="234">
        <f>D4</f>
        <v>0</v>
      </c>
      <c r="E21" s="228">
        <f t="shared" ref="E21:Y21" si="5">D21+E20</f>
        <v>475897.43589743593</v>
      </c>
      <c r="F21" s="228">
        <f t="shared" si="5"/>
        <v>823323.86196792987</v>
      </c>
      <c r="G21" s="228">
        <f t="shared" si="5"/>
        <v>1081524.1822726564</v>
      </c>
      <c r="H21" s="228">
        <f t="shared" si="5"/>
        <v>1276921.03028592</v>
      </c>
      <c r="I21" s="228">
        <f t="shared" si="5"/>
        <v>1369832.0291786471</v>
      </c>
      <c r="J21" s="228">
        <f t="shared" si="5"/>
        <v>1444160.8282928288</v>
      </c>
      <c r="K21" s="228">
        <f t="shared" si="5"/>
        <v>1504725.0349784582</v>
      </c>
      <c r="L21" s="228">
        <f t="shared" si="5"/>
        <v>1555004.7537363393</v>
      </c>
      <c r="M21" s="228">
        <f t="shared" si="5"/>
        <v>1597549.131146854</v>
      </c>
      <c r="N21" s="228">
        <f t="shared" si="5"/>
        <v>1634254.0842069061</v>
      </c>
      <c r="O21" s="228">
        <f t="shared" si="5"/>
        <v>1666554.4428997519</v>
      </c>
      <c r="P21" s="228">
        <f t="shared" si="5"/>
        <v>1695558.8466239399</v>
      </c>
      <c r="Q21" s="228">
        <f t="shared" si="5"/>
        <v>1722146.2167044457</v>
      </c>
      <c r="R21" s="228">
        <f t="shared" si="5"/>
        <v>1746517.9726115759</v>
      </c>
      <c r="S21" s="228">
        <f t="shared" si="5"/>
        <v>1768858.7488597785</v>
      </c>
      <c r="T21" s="228">
        <f t="shared" si="5"/>
        <v>1789337.7937539644</v>
      </c>
      <c r="U21" s="228">
        <f t="shared" si="5"/>
        <v>1808110.2515736348</v>
      </c>
      <c r="V21" s="228">
        <f t="shared" si="5"/>
        <v>1825318.3379083327</v>
      </c>
      <c r="W21" s="228">
        <f t="shared" si="5"/>
        <v>1841092.4170484724</v>
      </c>
      <c r="X21" s="228">
        <f t="shared" si="5"/>
        <v>1855551.9895936004</v>
      </c>
      <c r="Y21" s="228">
        <f t="shared" si="5"/>
        <v>1868806.5977599677</v>
      </c>
      <c r="AA21" s="12" t="str">
        <f>IFERROR((E21/D21)-1,"")</f>
        <v/>
      </c>
      <c r="AB21" s="12" t="str">
        <f>IFERROR((J21/D21)^(1/6)-1,"")</f>
        <v/>
      </c>
      <c r="AC21" s="12" t="str">
        <f>IFERROR((O21/D21)^(1/11)-1,"")</f>
        <v/>
      </c>
      <c r="AD21" s="12" t="str">
        <f>IFERROR((T21/D21)^(1/16)-1,"")</f>
        <v/>
      </c>
      <c r="AE21" s="178" t="str">
        <f>IFERROR((Y21/D21)^(1/21)-1,"")</f>
        <v/>
      </c>
      <c r="AF21" s="12"/>
      <c r="AJ21" s="11">
        <v>2038</v>
      </c>
      <c r="AK21" s="236">
        <f t="shared" si="0"/>
        <v>6.5312314334021133</v>
      </c>
      <c r="AL21" s="236">
        <f t="shared" si="1"/>
        <v>-2.7750481523631039</v>
      </c>
      <c r="AM21" s="236">
        <f t="shared" si="2"/>
        <v>3.756183281039009</v>
      </c>
      <c r="AN21" s="288">
        <f t="shared" si="3"/>
        <v>1746.5179726115759</v>
      </c>
    </row>
    <row r="22" spans="2:42" x14ac:dyDescent="0.2">
      <c r="B22" t="s">
        <v>65</v>
      </c>
      <c r="D22" s="2">
        <f>Macro!C20</f>
        <v>65</v>
      </c>
      <c r="E22" s="2">
        <f>Macro!D20</f>
        <v>97.5</v>
      </c>
      <c r="F22" s="2">
        <f>Macro!E20</f>
        <v>143.8125</v>
      </c>
      <c r="G22" s="2">
        <f>Macro!F20</f>
        <v>208.52812499999999</v>
      </c>
      <c r="H22" s="2">
        <f>Macro!G20</f>
        <v>297.15257812499993</v>
      </c>
      <c r="I22" s="2">
        <f>Macro!H20</f>
        <v>416.01360937499987</v>
      </c>
      <c r="J22" s="2">
        <f>Macro!I20</f>
        <v>572.01871289062478</v>
      </c>
      <c r="K22" s="2">
        <f>Macro!J20</f>
        <v>772.22526240234333</v>
      </c>
      <c r="L22" s="2">
        <f>Macro!K20</f>
        <v>1023.1984726831047</v>
      </c>
      <c r="M22" s="2">
        <f>Macro!L20</f>
        <v>1330.1580144880359</v>
      </c>
      <c r="N22" s="2">
        <f>Macro!M20</f>
        <v>1695.9514684722456</v>
      </c>
      <c r="O22" s="2">
        <f>Macro!N20</f>
        <v>2119.9393355903067</v>
      </c>
      <c r="P22" s="2">
        <f>Macro!O20</f>
        <v>2596.9256860981254</v>
      </c>
      <c r="Q22" s="2">
        <f>Macro!P20</f>
        <v>3116.3108233177504</v>
      </c>
      <c r="R22" s="2">
        <f>Macro!Q20</f>
        <v>3739.5729879813002</v>
      </c>
      <c r="S22" s="2">
        <f>Macro!R20</f>
        <v>4487.4875855775599</v>
      </c>
      <c r="T22" s="2">
        <f>Macro!S20</f>
        <v>5384.9851026930719</v>
      </c>
      <c r="U22" s="2">
        <f>Macro!T20</f>
        <v>6461.9821232316863</v>
      </c>
      <c r="V22" s="2">
        <f>Macro!U20</f>
        <v>7754.3785478780228</v>
      </c>
      <c r="W22" s="2">
        <f>Macro!V20</f>
        <v>9305.2542574536274</v>
      </c>
      <c r="X22" s="2">
        <f>Macro!W20</f>
        <v>11166.305108944352</v>
      </c>
      <c r="Y22" s="2">
        <f>Macro!X20</f>
        <v>13399.566130733223</v>
      </c>
      <c r="AA22" s="12">
        <f>IFERROR((E22/D22)-1,"")</f>
        <v>0.5</v>
      </c>
      <c r="AB22" s="12">
        <f>IFERROR((J22/D22)^(1/6)-1,"")</f>
        <v>0.43686559725988783</v>
      </c>
      <c r="AC22" s="12">
        <f>IFERROR((O22/D22)^(1/11)-1,"")</f>
        <v>0.37272244333469207</v>
      </c>
      <c r="AD22" s="12">
        <f>IFERROR((T22/D22)^(1/16)-1,"")</f>
        <v>0.31792879499327231</v>
      </c>
      <c r="AE22" s="12">
        <f>IFERROR((Y22/D22)^(1/21)-1,"")</f>
        <v>0.28883975252734717</v>
      </c>
      <c r="AF22" s="12"/>
      <c r="AJ22" s="11">
        <v>2039</v>
      </c>
      <c r="AK22" s="236">
        <f t="shared" si="0"/>
        <v>7.9377316761485108</v>
      </c>
      <c r="AL22" s="236">
        <f t="shared" si="1"/>
        <v>-3.1322142016357315</v>
      </c>
      <c r="AM22" s="236">
        <f t="shared" si="2"/>
        <v>4.8055174745127784</v>
      </c>
      <c r="AN22" s="288">
        <f t="shared" si="3"/>
        <v>1768.8587488597784</v>
      </c>
    </row>
    <row r="23" spans="2:42" x14ac:dyDescent="0.2">
      <c r="B23" s="213" t="s">
        <v>214</v>
      </c>
      <c r="C23" s="213"/>
      <c r="D23" s="214"/>
      <c r="E23" s="214"/>
      <c r="F23" s="214"/>
      <c r="G23" s="214"/>
      <c r="H23" s="214"/>
      <c r="I23" s="214"/>
      <c r="J23" s="214"/>
      <c r="K23" s="214"/>
      <c r="L23" s="214"/>
      <c r="M23" s="214"/>
      <c r="N23" s="214"/>
      <c r="O23" s="214"/>
      <c r="P23" s="214"/>
      <c r="Q23" s="214"/>
      <c r="R23" s="214"/>
      <c r="S23" s="214"/>
      <c r="T23" s="214"/>
      <c r="U23" s="214"/>
      <c r="V23" s="214"/>
      <c r="W23" s="214"/>
      <c r="X23" s="214"/>
      <c r="Y23" s="214"/>
      <c r="AE23" s="214"/>
      <c r="AG23" s="10"/>
      <c r="AH23" s="10"/>
      <c r="AI23" s="10"/>
      <c r="AJ23" s="188">
        <v>2040</v>
      </c>
      <c r="AK23" s="237">
        <f t="shared" si="0"/>
        <v>9.6355573630507863</v>
      </c>
      <c r="AL23" s="237">
        <f t="shared" si="1"/>
        <v>-3.5306731422181645</v>
      </c>
      <c r="AM23" s="237">
        <f t="shared" si="2"/>
        <v>6.1048842208326217</v>
      </c>
      <c r="AN23" s="289">
        <f t="shared" si="3"/>
        <v>1789.3377937539644</v>
      </c>
    </row>
    <row r="24" spans="2:42" x14ac:dyDescent="0.2">
      <c r="B24" s="48" t="s">
        <v>215</v>
      </c>
      <c r="C24" s="48"/>
      <c r="D24" s="2">
        <f>D5</f>
        <v>120</v>
      </c>
      <c r="E24" s="2">
        <f t="shared" ref="E24:Y24" si="6">D24*(1+$AE$5)</f>
        <v>132</v>
      </c>
      <c r="F24" s="2">
        <f t="shared" si="6"/>
        <v>145.20000000000002</v>
      </c>
      <c r="G24" s="2">
        <f t="shared" si="6"/>
        <v>159.72000000000003</v>
      </c>
      <c r="H24" s="2">
        <f t="shared" si="6"/>
        <v>175.69200000000004</v>
      </c>
      <c r="I24" s="2">
        <f t="shared" si="6"/>
        <v>193.26120000000006</v>
      </c>
      <c r="J24" s="2">
        <f t="shared" si="6"/>
        <v>212.58732000000009</v>
      </c>
      <c r="K24" s="2">
        <f t="shared" si="6"/>
        <v>233.84605200000013</v>
      </c>
      <c r="L24" s="2">
        <f t="shared" si="6"/>
        <v>257.23065720000017</v>
      </c>
      <c r="M24" s="2">
        <f t="shared" si="6"/>
        <v>282.95372292000019</v>
      </c>
      <c r="N24" s="2">
        <f t="shared" si="6"/>
        <v>311.24909521200021</v>
      </c>
      <c r="O24" s="2">
        <f t="shared" si="6"/>
        <v>342.37400473320025</v>
      </c>
      <c r="P24" s="2">
        <f t="shared" si="6"/>
        <v>376.61140520652032</v>
      </c>
      <c r="Q24" s="2">
        <f t="shared" si="6"/>
        <v>414.27254572717237</v>
      </c>
      <c r="R24" s="2">
        <f t="shared" si="6"/>
        <v>455.69980029988966</v>
      </c>
      <c r="S24" s="2">
        <f t="shared" si="6"/>
        <v>501.26978032987864</v>
      </c>
      <c r="T24" s="2">
        <f t="shared" si="6"/>
        <v>551.39675836286654</v>
      </c>
      <c r="U24" s="2">
        <f t="shared" si="6"/>
        <v>606.53643419915329</v>
      </c>
      <c r="V24" s="2">
        <f t="shared" si="6"/>
        <v>667.19007761906869</v>
      </c>
      <c r="W24" s="2">
        <f t="shared" si="6"/>
        <v>733.90908538097563</v>
      </c>
      <c r="X24" s="2">
        <f t="shared" si="6"/>
        <v>807.29999391907324</v>
      </c>
      <c r="Y24" s="2">
        <f t="shared" si="6"/>
        <v>888.02999331098067</v>
      </c>
      <c r="Z24" s="11"/>
      <c r="AA24" s="12">
        <f t="shared" ref="AA24:AA30" si="7">IFERROR((E24/D24)-1,"")</f>
        <v>0.10000000000000009</v>
      </c>
      <c r="AB24" s="12">
        <f t="shared" ref="AB24:AB30" si="8">IFERROR((J24/D24)^(1/6)-1,"")</f>
        <v>0.10000000000000009</v>
      </c>
      <c r="AC24" s="12">
        <f t="shared" ref="AC24:AC30" si="9">IFERROR((O24/D24)^(1/11)-1,"")</f>
        <v>0.10000000000000009</v>
      </c>
      <c r="AD24" s="12">
        <f t="shared" ref="AD24:AD30" si="10">IFERROR((T24/D24)^(1/16)-1,"")</f>
        <v>0.10000000000000009</v>
      </c>
      <c r="AE24" s="12">
        <f t="shared" ref="AE24:AE30" si="11">IFERROR((Y24/D24)^(1/21)-1,"")</f>
        <v>0.10000000000000009</v>
      </c>
      <c r="AF24" s="12"/>
      <c r="AG24" s="10"/>
      <c r="AH24" s="10"/>
      <c r="AI24" s="10"/>
      <c r="AJ24" s="11">
        <v>2041</v>
      </c>
      <c r="AK24" s="236">
        <f t="shared" si="0"/>
        <v>11.683976122500775</v>
      </c>
      <c r="AL24" s="236">
        <f t="shared" si="1"/>
        <v>-3.974944603288161</v>
      </c>
      <c r="AM24" s="236">
        <f t="shared" si="2"/>
        <v>7.7090315192126146</v>
      </c>
      <c r="AN24" s="288">
        <f t="shared" si="3"/>
        <v>1808.1102515736347</v>
      </c>
      <c r="AP24" s="39"/>
    </row>
    <row r="25" spans="2:42" ht="15" customHeight="1" x14ac:dyDescent="0.2">
      <c r="B25" s="48" t="s">
        <v>216</v>
      </c>
      <c r="C25" s="48"/>
      <c r="D25" s="2">
        <f>MIN(D6,0)</f>
        <v>-135</v>
      </c>
      <c r="E25" s="2">
        <f t="shared" ref="E25:Y25" si="12">D25*(1+$AE$6)</f>
        <v>-148.5</v>
      </c>
      <c r="F25" s="2">
        <f t="shared" si="12"/>
        <v>-163.35000000000002</v>
      </c>
      <c r="G25" s="2">
        <f t="shared" si="12"/>
        <v>-179.68500000000003</v>
      </c>
      <c r="H25" s="2">
        <f t="shared" si="12"/>
        <v>-197.65350000000004</v>
      </c>
      <c r="I25" s="2">
        <f t="shared" si="12"/>
        <v>-217.41885000000005</v>
      </c>
      <c r="J25" s="2">
        <f t="shared" si="12"/>
        <v>-239.16073500000007</v>
      </c>
      <c r="K25" s="2">
        <f t="shared" si="12"/>
        <v>-263.07680850000008</v>
      </c>
      <c r="L25" s="2">
        <f t="shared" si="12"/>
        <v>-289.38448935000014</v>
      </c>
      <c r="M25" s="2">
        <f t="shared" si="12"/>
        <v>-318.32293828500019</v>
      </c>
      <c r="N25" s="2">
        <f t="shared" si="12"/>
        <v>-350.15523211350023</v>
      </c>
      <c r="O25" s="2">
        <f t="shared" si="12"/>
        <v>-385.17075532485029</v>
      </c>
      <c r="P25" s="2">
        <f t="shared" si="12"/>
        <v>-423.68783085733537</v>
      </c>
      <c r="Q25" s="2">
        <f t="shared" si="12"/>
        <v>-466.05661394306895</v>
      </c>
      <c r="R25" s="2">
        <f t="shared" si="12"/>
        <v>-512.66227533737595</v>
      </c>
      <c r="S25" s="2">
        <f t="shared" si="12"/>
        <v>-563.92850287111355</v>
      </c>
      <c r="T25" s="2">
        <f t="shared" si="12"/>
        <v>-620.32135315822495</v>
      </c>
      <c r="U25" s="2">
        <f t="shared" si="12"/>
        <v>-682.35348847404748</v>
      </c>
      <c r="V25" s="2">
        <f t="shared" si="12"/>
        <v>-750.58883732145227</v>
      </c>
      <c r="W25" s="2">
        <f t="shared" si="12"/>
        <v>-825.64772105359759</v>
      </c>
      <c r="X25" s="2">
        <f t="shared" si="12"/>
        <v>-908.21249315895739</v>
      </c>
      <c r="Y25" s="2">
        <f t="shared" si="12"/>
        <v>-999.03374247485317</v>
      </c>
      <c r="AA25" s="12">
        <f t="shared" si="7"/>
        <v>0.10000000000000009</v>
      </c>
      <c r="AB25" s="12">
        <f t="shared" si="8"/>
        <v>0.10000000000000009</v>
      </c>
      <c r="AC25" s="12">
        <f t="shared" si="9"/>
        <v>0.10000000000000009</v>
      </c>
      <c r="AD25" s="12">
        <f t="shared" si="10"/>
        <v>0.10000000000000009</v>
      </c>
      <c r="AE25" s="12">
        <f t="shared" si="11"/>
        <v>0.10000000000000009</v>
      </c>
      <c r="AF25" s="12"/>
      <c r="AG25" s="10"/>
      <c r="AH25" s="10"/>
      <c r="AI25" s="10"/>
      <c r="AJ25" s="11">
        <v>2042</v>
      </c>
      <c r="AK25" s="236">
        <f t="shared" si="0"/>
        <v>14.154209362524742</v>
      </c>
      <c r="AL25" s="236">
        <f t="shared" si="1"/>
        <v>-4.4700275007445294</v>
      </c>
      <c r="AM25" s="236">
        <f t="shared" si="2"/>
        <v>9.6841818617802122</v>
      </c>
      <c r="AN25" s="288">
        <f t="shared" si="3"/>
        <v>1825.3183379083328</v>
      </c>
    </row>
    <row r="26" spans="2:42" x14ac:dyDescent="0.2">
      <c r="B26" s="48" t="s">
        <v>164</v>
      </c>
      <c r="C26" s="48"/>
      <c r="D26" s="2">
        <f t="shared" ref="D26:Y26" si="13">$D$8*D41</f>
        <v>-25.200000000000003</v>
      </c>
      <c r="E26" s="2">
        <f t="shared" si="13"/>
        <v>-28.014000000000003</v>
      </c>
      <c r="F26" s="2">
        <f t="shared" si="13"/>
        <v>-32.977980000000002</v>
      </c>
      <c r="G26" s="2">
        <f t="shared" si="13"/>
        <v>-38.589738600000004</v>
      </c>
      <c r="H26" s="2">
        <f t="shared" si="13"/>
        <v>-44.924650302000003</v>
      </c>
      <c r="I26" s="2">
        <f t="shared" si="13"/>
        <v>-52.06636882314001</v>
      </c>
      <c r="J26" s="2">
        <f t="shared" si="13"/>
        <v>-60.107706940759812</v>
      </c>
      <c r="K26" s="2">
        <f t="shared" si="13"/>
        <v>-69.151607956613006</v>
      </c>
      <c r="L26" s="2">
        <f t="shared" si="13"/>
        <v>-79.312218196575913</v>
      </c>
      <c r="M26" s="2">
        <f t="shared" si="13"/>
        <v>-90.716070921636231</v>
      </c>
      <c r="N26" s="2">
        <f t="shared" si="13"/>
        <v>-103.50339308258079</v>
      </c>
      <c r="O26" s="2">
        <f t="shared" si="13"/>
        <v>-117.82954751443444</v>
      </c>
      <c r="P26" s="2">
        <f t="shared" si="13"/>
        <v>-133.86662444812515</v>
      </c>
      <c r="Q26" s="2">
        <f t="shared" si="13"/>
        <v>-151.80519762794228</v>
      </c>
      <c r="R26" s="2">
        <f t="shared" si="13"/>
        <v>-171.8562618771914</v>
      </c>
      <c r="S26" s="2">
        <f t="shared" si="13"/>
        <v>-194.25337066541729</v>
      </c>
      <c r="T26" s="2">
        <f t="shared" si="13"/>
        <v>-219.25499411450124</v>
      </c>
      <c r="U26" s="2">
        <f t="shared" si="13"/>
        <v>-247.14711995527156</v>
      </c>
      <c r="V26" s="2">
        <f t="shared" si="13"/>
        <v>-278.2461222301713</v>
      </c>
      <c r="W26" s="2">
        <f t="shared" si="13"/>
        <v>-312.90192505211712</v>
      </c>
      <c r="X26" s="2">
        <f t="shared" si="13"/>
        <v>-351.50149149818253</v>
      </c>
      <c r="Y26" s="2">
        <f t="shared" si="13"/>
        <v>-394.47267076471422</v>
      </c>
      <c r="AA26" s="12">
        <f t="shared" si="7"/>
        <v>0.11166666666666658</v>
      </c>
      <c r="AB26" s="12">
        <f t="shared" si="8"/>
        <v>0.15590356522127169</v>
      </c>
      <c r="AC26" s="12">
        <f t="shared" si="9"/>
        <v>0.15052427974074645</v>
      </c>
      <c r="AD26" s="12">
        <f t="shared" si="10"/>
        <v>0.1447794099903208</v>
      </c>
      <c r="AE26" s="12">
        <f t="shared" si="11"/>
        <v>0.13995181469528561</v>
      </c>
      <c r="AF26" s="12"/>
      <c r="AH26" s="12"/>
      <c r="AI26" s="12"/>
      <c r="AJ26" s="11">
        <v>2043</v>
      </c>
      <c r="AK26" s="236">
        <f t="shared" si="0"/>
        <v>17.13183305210589</v>
      </c>
      <c r="AL26" s="236">
        <f t="shared" si="1"/>
        <v>-5.0214498785454644</v>
      </c>
      <c r="AM26" s="236">
        <f t="shared" si="2"/>
        <v>12.110383173560425</v>
      </c>
      <c r="AN26" s="288">
        <f t="shared" si="3"/>
        <v>1841.0924170484725</v>
      </c>
    </row>
    <row r="27" spans="2:42" x14ac:dyDescent="0.2">
      <c r="B27" s="134" t="s">
        <v>217</v>
      </c>
      <c r="C27" s="134"/>
      <c r="D27" s="235">
        <f t="shared" ref="D27:Y27" si="14">SUM(D24:D26)</f>
        <v>-40.200000000000003</v>
      </c>
      <c r="E27" s="235">
        <f t="shared" si="14"/>
        <v>-44.514000000000003</v>
      </c>
      <c r="F27" s="235">
        <f t="shared" si="14"/>
        <v>-51.127980000000008</v>
      </c>
      <c r="G27" s="235">
        <f t="shared" si="14"/>
        <v>-58.554738600000007</v>
      </c>
      <c r="H27" s="235">
        <f t="shared" si="14"/>
        <v>-66.886150302000004</v>
      </c>
      <c r="I27" s="235">
        <f t="shared" si="14"/>
        <v>-76.22401882314</v>
      </c>
      <c r="J27" s="235">
        <f t="shared" si="14"/>
        <v>-86.681121940759795</v>
      </c>
      <c r="K27" s="235">
        <f t="shared" si="14"/>
        <v>-98.382364456612962</v>
      </c>
      <c r="L27" s="235">
        <f t="shared" si="14"/>
        <v>-111.46605034657588</v>
      </c>
      <c r="M27" s="235">
        <f t="shared" si="14"/>
        <v>-126.08528628663623</v>
      </c>
      <c r="N27" s="235">
        <f t="shared" si="14"/>
        <v>-142.40952998408079</v>
      </c>
      <c r="O27" s="235">
        <f t="shared" si="14"/>
        <v>-160.62629810608448</v>
      </c>
      <c r="P27" s="235">
        <f t="shared" si="14"/>
        <v>-180.9430500989402</v>
      </c>
      <c r="Q27" s="235">
        <f t="shared" si="14"/>
        <v>-203.58926584383886</v>
      </c>
      <c r="R27" s="235">
        <f t="shared" si="14"/>
        <v>-228.81873691467769</v>
      </c>
      <c r="S27" s="235">
        <f t="shared" si="14"/>
        <v>-256.91209320665223</v>
      </c>
      <c r="T27" s="235">
        <f t="shared" si="14"/>
        <v>-288.17958890985966</v>
      </c>
      <c r="U27" s="235">
        <f t="shared" si="14"/>
        <v>-322.96417423016578</v>
      </c>
      <c r="V27" s="235">
        <f t="shared" si="14"/>
        <v>-361.64488193255488</v>
      </c>
      <c r="W27" s="235">
        <f t="shared" si="14"/>
        <v>-404.64056072473909</v>
      </c>
      <c r="X27" s="235">
        <f t="shared" si="14"/>
        <v>-452.41399073806667</v>
      </c>
      <c r="Y27" s="235">
        <f t="shared" si="14"/>
        <v>-505.47641992858672</v>
      </c>
      <c r="Z27" s="5"/>
      <c r="AA27" s="14">
        <f t="shared" si="7"/>
        <v>0.10731343283582095</v>
      </c>
      <c r="AB27" s="14">
        <f t="shared" si="8"/>
        <v>0.13662292642939344</v>
      </c>
      <c r="AC27" s="14">
        <f t="shared" si="9"/>
        <v>0.13420107429520511</v>
      </c>
      <c r="AD27" s="14">
        <f t="shared" si="10"/>
        <v>0.13100577579355255</v>
      </c>
      <c r="AE27" s="136">
        <f t="shared" si="11"/>
        <v>0.12812167909501571</v>
      </c>
      <c r="AF27" s="15"/>
      <c r="AH27" s="12"/>
      <c r="AI27" s="12"/>
      <c r="AJ27" s="11">
        <v>2044</v>
      </c>
      <c r="AK27" s="236">
        <f t="shared" si="0"/>
        <v>20.719659661310878</v>
      </c>
      <c r="AL27" s="236">
        <f t="shared" si="1"/>
        <v>-5.6353238680673456</v>
      </c>
      <c r="AM27" s="236">
        <f t="shared" si="2"/>
        <v>15.084335793243532</v>
      </c>
      <c r="AN27" s="288">
        <f t="shared" si="3"/>
        <v>1855.5519895936004</v>
      </c>
    </row>
    <row r="28" spans="2:42" hidden="1" outlineLevel="1" x14ac:dyDescent="0.2">
      <c r="B28" s="48" t="s">
        <v>218</v>
      </c>
      <c r="C28" s="48"/>
      <c r="D28" s="2">
        <f t="shared" ref="D28:Y28" si="15">MAX(-D27,0)</f>
        <v>40.200000000000003</v>
      </c>
      <c r="E28" s="2">
        <f t="shared" si="15"/>
        <v>44.514000000000003</v>
      </c>
      <c r="F28" s="2">
        <f t="shared" si="15"/>
        <v>51.127980000000008</v>
      </c>
      <c r="G28" s="2">
        <f t="shared" si="15"/>
        <v>58.554738600000007</v>
      </c>
      <c r="H28" s="2">
        <f t="shared" si="15"/>
        <v>66.886150302000004</v>
      </c>
      <c r="I28" s="2">
        <f t="shared" si="15"/>
        <v>76.22401882314</v>
      </c>
      <c r="J28" s="2">
        <f t="shared" si="15"/>
        <v>86.681121940759795</v>
      </c>
      <c r="K28" s="2">
        <f t="shared" si="15"/>
        <v>98.382364456612962</v>
      </c>
      <c r="L28" s="2">
        <f t="shared" si="15"/>
        <v>111.46605034657588</v>
      </c>
      <c r="M28" s="2">
        <f t="shared" si="15"/>
        <v>126.08528628663623</v>
      </c>
      <c r="N28" s="2">
        <f t="shared" si="15"/>
        <v>142.40952998408079</v>
      </c>
      <c r="O28" s="2">
        <f t="shared" si="15"/>
        <v>160.62629810608448</v>
      </c>
      <c r="P28" s="2">
        <f t="shared" si="15"/>
        <v>180.9430500989402</v>
      </c>
      <c r="Q28" s="2">
        <f t="shared" si="15"/>
        <v>203.58926584383886</v>
      </c>
      <c r="R28" s="2">
        <f t="shared" si="15"/>
        <v>228.81873691467769</v>
      </c>
      <c r="S28" s="2">
        <f t="shared" si="15"/>
        <v>256.91209320665223</v>
      </c>
      <c r="T28" s="2">
        <f t="shared" si="15"/>
        <v>288.17958890985966</v>
      </c>
      <c r="U28" s="2">
        <f t="shared" si="15"/>
        <v>322.96417423016578</v>
      </c>
      <c r="V28" s="2">
        <f t="shared" si="15"/>
        <v>361.64488193255488</v>
      </c>
      <c r="W28" s="2">
        <f t="shared" si="15"/>
        <v>404.64056072473909</v>
      </c>
      <c r="X28" s="2">
        <f t="shared" si="15"/>
        <v>452.41399073806667</v>
      </c>
      <c r="Y28" s="2">
        <f t="shared" si="15"/>
        <v>505.47641992858672</v>
      </c>
      <c r="AA28" s="12">
        <f t="shared" si="7"/>
        <v>0.10731343283582095</v>
      </c>
      <c r="AB28" s="12">
        <f t="shared" si="8"/>
        <v>0.13662292642939344</v>
      </c>
      <c r="AC28" s="12">
        <f t="shared" si="9"/>
        <v>0.13420107429520511</v>
      </c>
      <c r="AD28" s="12">
        <f t="shared" si="10"/>
        <v>0.13100577579355255</v>
      </c>
      <c r="AE28" s="12">
        <f t="shared" si="11"/>
        <v>0.12812167909501571</v>
      </c>
      <c r="AF28" s="12"/>
      <c r="AH28" s="12"/>
      <c r="AI28" s="12"/>
      <c r="AK28" t="e">
        <f t="shared" si="0"/>
        <v>#N/A</v>
      </c>
      <c r="AL28" t="e">
        <f t="shared" si="1"/>
        <v>#N/A</v>
      </c>
      <c r="AM28" t="e">
        <f t="shared" si="2"/>
        <v>#N/A</v>
      </c>
      <c r="AN28" s="290" t="e">
        <f t="shared" si="3"/>
        <v>#N/A</v>
      </c>
      <c r="AO28" s="25"/>
    </row>
    <row r="29" spans="2:42" hidden="1" outlineLevel="1" x14ac:dyDescent="0.2">
      <c r="B29" s="48" t="s">
        <v>219</v>
      </c>
      <c r="C29" s="48"/>
      <c r="D29" s="2"/>
      <c r="E29" s="2">
        <f t="shared" ref="E29:Y29" si="16">+$V$15*E24</f>
        <v>26.400000000000002</v>
      </c>
      <c r="F29" s="2">
        <f t="shared" si="16"/>
        <v>29.040000000000006</v>
      </c>
      <c r="G29" s="2">
        <f t="shared" si="16"/>
        <v>31.944000000000006</v>
      </c>
      <c r="H29" s="2">
        <f t="shared" si="16"/>
        <v>35.138400000000011</v>
      </c>
      <c r="I29" s="2">
        <f t="shared" si="16"/>
        <v>38.652240000000013</v>
      </c>
      <c r="J29" s="2">
        <f t="shared" si="16"/>
        <v>42.517464000000018</v>
      </c>
      <c r="K29" s="2">
        <f t="shared" si="16"/>
        <v>46.769210400000027</v>
      </c>
      <c r="L29" s="2">
        <f t="shared" si="16"/>
        <v>51.446131440000038</v>
      </c>
      <c r="M29" s="2">
        <f t="shared" si="16"/>
        <v>56.590744584000042</v>
      </c>
      <c r="N29" s="2">
        <f t="shared" si="16"/>
        <v>62.249819042400048</v>
      </c>
      <c r="O29" s="2">
        <f t="shared" si="16"/>
        <v>68.474800946640059</v>
      </c>
      <c r="P29" s="2">
        <f t="shared" si="16"/>
        <v>75.322281041304066</v>
      </c>
      <c r="Q29" s="2">
        <f t="shared" si="16"/>
        <v>82.854509145434477</v>
      </c>
      <c r="R29" s="2">
        <f t="shared" si="16"/>
        <v>91.139960059977938</v>
      </c>
      <c r="S29" s="2">
        <f t="shared" si="16"/>
        <v>100.25395606597573</v>
      </c>
      <c r="T29" s="2">
        <f t="shared" si="16"/>
        <v>110.27935167257331</v>
      </c>
      <c r="U29" s="2">
        <f t="shared" si="16"/>
        <v>121.30728683983067</v>
      </c>
      <c r="V29" s="2">
        <f t="shared" si="16"/>
        <v>133.43801552381373</v>
      </c>
      <c r="W29" s="2">
        <f t="shared" si="16"/>
        <v>146.78181707619513</v>
      </c>
      <c r="X29" s="2">
        <f t="shared" si="16"/>
        <v>161.45999878381465</v>
      </c>
      <c r="Y29" s="2">
        <f t="shared" si="16"/>
        <v>177.60599866219616</v>
      </c>
      <c r="AA29" s="12" t="str">
        <f t="shared" si="7"/>
        <v/>
      </c>
      <c r="AB29" s="12" t="str">
        <f t="shared" si="8"/>
        <v/>
      </c>
      <c r="AC29" s="12" t="str">
        <f t="shared" si="9"/>
        <v/>
      </c>
      <c r="AD29" s="12" t="str">
        <f t="shared" si="10"/>
        <v/>
      </c>
      <c r="AE29" s="12" t="str">
        <f t="shared" si="11"/>
        <v/>
      </c>
      <c r="AF29" s="12"/>
      <c r="AH29" s="12"/>
      <c r="AI29" s="12"/>
      <c r="AK29" s="58" t="e">
        <f t="shared" si="0"/>
        <v>#N/A</v>
      </c>
      <c r="AL29" t="e">
        <f t="shared" si="1"/>
        <v>#N/A</v>
      </c>
      <c r="AM29" s="58" t="e">
        <f t="shared" si="2"/>
        <v>#N/A</v>
      </c>
      <c r="AN29" s="291" t="e">
        <f t="shared" si="3"/>
        <v>#N/A</v>
      </c>
      <c r="AO29" s="58"/>
      <c r="AP29" s="39"/>
    </row>
    <row r="30" spans="2:42" hidden="1" outlineLevel="1" x14ac:dyDescent="0.2">
      <c r="B30" s="51" t="s">
        <v>220</v>
      </c>
      <c r="C30" s="51"/>
      <c r="D30" s="24">
        <f t="shared" ref="D30:Y30" si="17">D27+D28+D29</f>
        <v>0</v>
      </c>
      <c r="E30" s="24">
        <f t="shared" si="17"/>
        <v>26.400000000000002</v>
      </c>
      <c r="F30" s="24">
        <f t="shared" si="17"/>
        <v>29.040000000000006</v>
      </c>
      <c r="G30" s="24">
        <f t="shared" si="17"/>
        <v>31.944000000000006</v>
      </c>
      <c r="H30" s="24">
        <f t="shared" si="17"/>
        <v>35.138400000000011</v>
      </c>
      <c r="I30" s="24">
        <f t="shared" si="17"/>
        <v>38.652240000000013</v>
      </c>
      <c r="J30" s="24">
        <f t="shared" si="17"/>
        <v>42.517464000000018</v>
      </c>
      <c r="K30" s="24">
        <f t="shared" si="17"/>
        <v>46.769210400000027</v>
      </c>
      <c r="L30" s="24">
        <f t="shared" si="17"/>
        <v>51.446131440000038</v>
      </c>
      <c r="M30" s="24">
        <f t="shared" si="17"/>
        <v>56.590744584000042</v>
      </c>
      <c r="N30" s="24">
        <f t="shared" si="17"/>
        <v>62.249819042400048</v>
      </c>
      <c r="O30" s="24">
        <f t="shared" si="17"/>
        <v>68.474800946640059</v>
      </c>
      <c r="P30" s="24">
        <f t="shared" si="17"/>
        <v>75.322281041304066</v>
      </c>
      <c r="Q30" s="24">
        <f t="shared" si="17"/>
        <v>82.854509145434477</v>
      </c>
      <c r="R30" s="24">
        <f t="shared" si="17"/>
        <v>91.139960059977938</v>
      </c>
      <c r="S30" s="24">
        <f t="shared" si="17"/>
        <v>100.25395606597573</v>
      </c>
      <c r="T30" s="24">
        <f t="shared" si="17"/>
        <v>110.27935167257331</v>
      </c>
      <c r="U30" s="24">
        <f t="shared" si="17"/>
        <v>121.30728683983067</v>
      </c>
      <c r="V30" s="24">
        <f t="shared" si="17"/>
        <v>133.43801552381373</v>
      </c>
      <c r="W30" s="24">
        <f t="shared" si="17"/>
        <v>146.78181707619513</v>
      </c>
      <c r="X30" s="24">
        <f t="shared" si="17"/>
        <v>161.45999878381465</v>
      </c>
      <c r="Y30" s="24">
        <f t="shared" si="17"/>
        <v>177.60599866219616</v>
      </c>
      <c r="Z30" s="3"/>
      <c r="AA30" s="14" t="str">
        <f t="shared" si="7"/>
        <v/>
      </c>
      <c r="AB30" s="14" t="str">
        <f t="shared" si="8"/>
        <v/>
      </c>
      <c r="AC30" s="14" t="str">
        <f t="shared" si="9"/>
        <v/>
      </c>
      <c r="AD30" s="14" t="str">
        <f t="shared" si="10"/>
        <v/>
      </c>
      <c r="AE30" s="14" t="str">
        <f t="shared" si="11"/>
        <v/>
      </c>
      <c r="AF30" s="15"/>
      <c r="AH30" s="12"/>
      <c r="AI30" s="12"/>
      <c r="AK30" s="58" t="e">
        <f t="shared" si="0"/>
        <v>#N/A</v>
      </c>
      <c r="AL30" t="e">
        <f t="shared" si="1"/>
        <v>#N/A</v>
      </c>
      <c r="AM30" s="58" t="e">
        <f t="shared" si="2"/>
        <v>#N/A</v>
      </c>
      <c r="AN30" s="291" t="e">
        <f t="shared" si="3"/>
        <v>#N/A</v>
      </c>
      <c r="AO30" s="58"/>
      <c r="AP30" s="39"/>
    </row>
    <row r="31" spans="2:42" hidden="1" outlineLevel="1" collapsed="1" x14ac:dyDescent="0.2">
      <c r="B31" s="18" t="s">
        <v>221</v>
      </c>
      <c r="C31" s="18"/>
      <c r="D31" s="79"/>
      <c r="E31" s="86">
        <f t="shared" ref="E31:Y31" si="18">IFERROR(IF(E19&lt;=$D$19+$V$12,$V$13/(1-$V$13*(E19-$D$19-1)),0),0)</f>
        <v>0.25</v>
      </c>
      <c r="F31" s="86">
        <f t="shared" si="18"/>
        <v>0.33333333333333331</v>
      </c>
      <c r="G31" s="86">
        <f t="shared" si="18"/>
        <v>0.5</v>
      </c>
      <c r="H31" s="86">
        <f t="shared" si="18"/>
        <v>1</v>
      </c>
      <c r="I31" s="86">
        <f t="shared" si="18"/>
        <v>0</v>
      </c>
      <c r="J31" s="86">
        <f t="shared" si="18"/>
        <v>0</v>
      </c>
      <c r="K31" s="86">
        <f t="shared" si="18"/>
        <v>0</v>
      </c>
      <c r="L31" s="86">
        <f t="shared" si="18"/>
        <v>0</v>
      </c>
      <c r="M31" s="86">
        <f t="shared" si="18"/>
        <v>0</v>
      </c>
      <c r="N31" s="86">
        <f t="shared" si="18"/>
        <v>0</v>
      </c>
      <c r="O31" s="86">
        <f t="shared" si="18"/>
        <v>0</v>
      </c>
      <c r="P31" s="86">
        <f t="shared" si="18"/>
        <v>0</v>
      </c>
      <c r="Q31" s="86">
        <f t="shared" si="18"/>
        <v>0</v>
      </c>
      <c r="R31" s="86">
        <f t="shared" si="18"/>
        <v>0</v>
      </c>
      <c r="S31" s="86">
        <f t="shared" si="18"/>
        <v>0</v>
      </c>
      <c r="T31" s="86">
        <f t="shared" si="18"/>
        <v>0</v>
      </c>
      <c r="U31" s="86">
        <f t="shared" si="18"/>
        <v>0</v>
      </c>
      <c r="V31" s="86">
        <f t="shared" si="18"/>
        <v>0</v>
      </c>
      <c r="W31" s="86">
        <f t="shared" si="18"/>
        <v>0</v>
      </c>
      <c r="X31" s="86">
        <f t="shared" si="18"/>
        <v>0</v>
      </c>
      <c r="Y31" s="86">
        <f t="shared" si="18"/>
        <v>0</v>
      </c>
      <c r="AH31" s="12"/>
      <c r="AI31" s="12"/>
      <c r="AK31" s="58" t="e">
        <f t="shared" si="0"/>
        <v>#N/A</v>
      </c>
      <c r="AL31" t="e">
        <f t="shared" si="1"/>
        <v>#N/A</v>
      </c>
      <c r="AM31" s="58" t="e">
        <f t="shared" si="2"/>
        <v>#N/A</v>
      </c>
      <c r="AN31" s="291" t="e">
        <f t="shared" si="3"/>
        <v>#N/A</v>
      </c>
      <c r="AO31" s="58"/>
      <c r="AP31" s="39"/>
    </row>
    <row r="32" spans="2:42" hidden="1" outlineLevel="1" x14ac:dyDescent="0.2">
      <c r="B32" s="48" t="s">
        <v>222</v>
      </c>
      <c r="C32" s="18"/>
      <c r="D32" s="2"/>
      <c r="E32" s="2">
        <f t="shared" ref="E32:Y32" si="19">SUM(D36:D38)*E31</f>
        <v>20</v>
      </c>
      <c r="F32" s="2">
        <f t="shared" si="19"/>
        <v>20.924262899262899</v>
      </c>
      <c r="G32" s="2">
        <f t="shared" si="19"/>
        <v>21.898028667544025</v>
      </c>
      <c r="H32" s="2">
        <f t="shared" si="19"/>
        <v>22.924277144640023</v>
      </c>
      <c r="I32" s="2">
        <f t="shared" si="19"/>
        <v>0</v>
      </c>
      <c r="J32" s="2">
        <f t="shared" si="19"/>
        <v>0</v>
      </c>
      <c r="K32" s="2">
        <f t="shared" si="19"/>
        <v>0</v>
      </c>
      <c r="L32" s="2">
        <f t="shared" si="19"/>
        <v>0</v>
      </c>
      <c r="M32" s="2">
        <f t="shared" si="19"/>
        <v>0</v>
      </c>
      <c r="N32" s="2">
        <f t="shared" si="19"/>
        <v>0</v>
      </c>
      <c r="O32" s="2">
        <f t="shared" si="19"/>
        <v>0</v>
      </c>
      <c r="P32" s="2">
        <f t="shared" si="19"/>
        <v>0</v>
      </c>
      <c r="Q32" s="2">
        <f t="shared" si="19"/>
        <v>0</v>
      </c>
      <c r="R32" s="2">
        <f t="shared" si="19"/>
        <v>0</v>
      </c>
      <c r="S32" s="2">
        <f t="shared" si="19"/>
        <v>0</v>
      </c>
      <c r="T32" s="2">
        <f t="shared" si="19"/>
        <v>0</v>
      </c>
      <c r="U32" s="2">
        <f t="shared" si="19"/>
        <v>0</v>
      </c>
      <c r="V32" s="2">
        <f t="shared" si="19"/>
        <v>0</v>
      </c>
      <c r="W32" s="2">
        <f t="shared" si="19"/>
        <v>0</v>
      </c>
      <c r="X32" s="2">
        <f t="shared" si="19"/>
        <v>0</v>
      </c>
      <c r="Y32" s="2">
        <f t="shared" si="19"/>
        <v>0</v>
      </c>
      <c r="AE32" t="str">
        <f>IFERROR((Y32/D32)^(1/21)-1,"")</f>
        <v/>
      </c>
      <c r="AH32" s="12"/>
      <c r="AI32" s="12"/>
      <c r="AK32" s="58" t="e">
        <f t="shared" si="0"/>
        <v>#N/A</v>
      </c>
      <c r="AL32" t="e">
        <f t="shared" si="1"/>
        <v>#N/A</v>
      </c>
      <c r="AM32" s="58" t="e">
        <f t="shared" si="2"/>
        <v>#N/A</v>
      </c>
      <c r="AN32" s="291" t="e">
        <f t="shared" si="3"/>
        <v>#N/A</v>
      </c>
      <c r="AO32" s="58"/>
      <c r="AP32" s="39"/>
    </row>
    <row r="33" spans="2:42" hidden="1" outlineLevel="1" x14ac:dyDescent="0.2">
      <c r="B33" s="48" t="s">
        <v>169</v>
      </c>
      <c r="C33" s="18"/>
      <c r="D33" s="2">
        <f t="shared" ref="D33:Y33" si="20">-D20*D22/10^6</f>
        <v>0</v>
      </c>
      <c r="E33" s="2">
        <f t="shared" si="20"/>
        <v>-46.4</v>
      </c>
      <c r="F33" s="2">
        <f t="shared" si="20"/>
        <v>-49.964262899262899</v>
      </c>
      <c r="G33" s="2">
        <f t="shared" si="20"/>
        <v>-53.842028667544028</v>
      </c>
      <c r="H33" s="2">
        <f t="shared" si="20"/>
        <v>-58.062677144640034</v>
      </c>
      <c r="I33" s="2">
        <f t="shared" si="20"/>
        <v>-38.652240000000013</v>
      </c>
      <c r="J33" s="2">
        <f t="shared" si="20"/>
        <v>-42.517464000000018</v>
      </c>
      <c r="K33" s="2">
        <f t="shared" si="20"/>
        <v>-46.769210400000027</v>
      </c>
      <c r="L33" s="2">
        <f t="shared" si="20"/>
        <v>-51.446131440000045</v>
      </c>
      <c r="M33" s="2">
        <f t="shared" si="20"/>
        <v>-56.590744584000042</v>
      </c>
      <c r="N33" s="2">
        <f t="shared" si="20"/>
        <v>-62.249819042400048</v>
      </c>
      <c r="O33" s="2">
        <f t="shared" si="20"/>
        <v>-68.474800946640059</v>
      </c>
      <c r="P33" s="2">
        <f t="shared" si="20"/>
        <v>-75.322281041304066</v>
      </c>
      <c r="Q33" s="2">
        <f t="shared" si="20"/>
        <v>-82.854509145434477</v>
      </c>
      <c r="R33" s="2">
        <f t="shared" si="20"/>
        <v>-91.139960059977952</v>
      </c>
      <c r="S33" s="2">
        <f t="shared" si="20"/>
        <v>-100.25395606597573</v>
      </c>
      <c r="T33" s="2">
        <f t="shared" si="20"/>
        <v>-110.27935167257331</v>
      </c>
      <c r="U33" s="2">
        <f t="shared" si="20"/>
        <v>-121.30728683983067</v>
      </c>
      <c r="V33" s="2">
        <f t="shared" si="20"/>
        <v>-133.43801552381373</v>
      </c>
      <c r="W33" s="2">
        <f t="shared" si="20"/>
        <v>-146.78181707619513</v>
      </c>
      <c r="X33" s="2">
        <f t="shared" si="20"/>
        <v>-161.45999878381465</v>
      </c>
      <c r="Y33" s="2">
        <f t="shared" si="20"/>
        <v>-177.60599866219616</v>
      </c>
      <c r="AA33" t="str">
        <f>IFERROR((E33/D33)-1,"")</f>
        <v/>
      </c>
      <c r="AB33" t="str">
        <f>IFERROR((J33/D33)^(1/6)-1,"")</f>
        <v/>
      </c>
      <c r="AC33" t="str">
        <f>IFERROR((O33/D33)^(1/11)-1,"")</f>
        <v/>
      </c>
      <c r="AD33" t="str">
        <f>IFERROR((T33/D33)^(1/16)-1,"")</f>
        <v/>
      </c>
      <c r="AE33" t="str">
        <f>IFERROR((Y33/D33)^(1/21)-1,"")</f>
        <v/>
      </c>
      <c r="AF33" s="12"/>
      <c r="AH33" s="12">
        <f t="shared" ref="AH33" si="21">D35/D$39</f>
        <v>0</v>
      </c>
      <c r="AI33" s="12">
        <f>Y35/Y$39</f>
        <v>1</v>
      </c>
      <c r="AK33" s="58" t="e">
        <f t="shared" si="0"/>
        <v>#N/A</v>
      </c>
      <c r="AL33" t="e">
        <f t="shared" si="1"/>
        <v>#N/A</v>
      </c>
      <c r="AM33" s="58" t="e">
        <f t="shared" si="2"/>
        <v>#N/A</v>
      </c>
      <c r="AN33" s="291" t="e">
        <f t="shared" si="3"/>
        <v>#N/A</v>
      </c>
      <c r="AO33" s="58"/>
      <c r="AP33" s="39"/>
    </row>
    <row r="34" spans="2:42" collapsed="1" x14ac:dyDescent="0.2">
      <c r="B34" s="213" t="s">
        <v>223</v>
      </c>
      <c r="C34" s="213"/>
      <c r="D34" s="214"/>
      <c r="E34" s="214"/>
      <c r="F34" s="214"/>
      <c r="G34" s="214"/>
      <c r="H34" s="214"/>
      <c r="I34" s="214"/>
      <c r="J34" s="214"/>
      <c r="K34" s="214"/>
      <c r="L34" s="214"/>
      <c r="M34" s="214"/>
      <c r="N34" s="214"/>
      <c r="O34" s="214"/>
      <c r="P34" s="214"/>
      <c r="Q34" s="214"/>
      <c r="R34" s="214"/>
      <c r="S34" s="214"/>
      <c r="T34" s="214"/>
      <c r="U34" s="214"/>
      <c r="V34" s="214"/>
      <c r="W34" s="214"/>
      <c r="X34" s="214"/>
      <c r="Y34" s="214"/>
      <c r="AE34" s="214"/>
      <c r="AJ34" s="188">
        <v>2045</v>
      </c>
      <c r="AK34" s="237">
        <f t="shared" si="0"/>
        <v>25.04119759223525</v>
      </c>
      <c r="AL34" s="237">
        <f t="shared" si="1"/>
        <v>-6.3184062866581288</v>
      </c>
      <c r="AM34" s="237">
        <f t="shared" si="2"/>
        <v>18.722791305577122</v>
      </c>
      <c r="AN34" s="289">
        <f t="shared" si="3"/>
        <v>1868.8065977599676</v>
      </c>
      <c r="AO34" s="42"/>
    </row>
    <row r="35" spans="2:42" x14ac:dyDescent="0.2">
      <c r="B35" t="s">
        <v>50</v>
      </c>
      <c r="D35" s="20">
        <f t="shared" ref="D35:Y35" si="22">D21*D22/10^6</f>
        <v>0</v>
      </c>
      <c r="E35" s="2">
        <f t="shared" si="22"/>
        <v>46.4</v>
      </c>
      <c r="F35" s="2">
        <f t="shared" si="22"/>
        <v>118.40426289926292</v>
      </c>
      <c r="G35" s="2">
        <f t="shared" si="22"/>
        <v>225.52820987147524</v>
      </c>
      <c r="H35" s="2">
        <f t="shared" si="22"/>
        <v>379.44037621149226</v>
      </c>
      <c r="I35" s="2">
        <f t="shared" si="22"/>
        <v>569.8687666960891</v>
      </c>
      <c r="J35" s="2">
        <f t="shared" si="22"/>
        <v>826.08701820712247</v>
      </c>
      <c r="K35" s="2">
        <f t="shared" si="22"/>
        <v>1161.9866849796151</v>
      </c>
      <c r="L35" s="2">
        <f t="shared" si="22"/>
        <v>1591.0784890379896</v>
      </c>
      <c r="M35" s="2">
        <f t="shared" si="22"/>
        <v>2124.9927803333862</v>
      </c>
      <c r="N35" s="2">
        <f t="shared" si="22"/>
        <v>2771.6156139674672</v>
      </c>
      <c r="O35" s="2">
        <f t="shared" si="22"/>
        <v>3532.9943184059739</v>
      </c>
      <c r="P35" s="2">
        <f t="shared" si="22"/>
        <v>4403.2403210886214</v>
      </c>
      <c r="Q35" s="2">
        <f t="shared" si="22"/>
        <v>5366.7428944517806</v>
      </c>
      <c r="R35" s="2">
        <f t="shared" si="22"/>
        <v>6531.231433402113</v>
      </c>
      <c r="S35" s="2">
        <f t="shared" si="22"/>
        <v>7937.7316761485108</v>
      </c>
      <c r="T35" s="2">
        <f t="shared" si="22"/>
        <v>9635.5573630507861</v>
      </c>
      <c r="U35" s="2">
        <f t="shared" si="22"/>
        <v>11683.976122500775</v>
      </c>
      <c r="V35" s="2">
        <f t="shared" si="22"/>
        <v>14154.209362524742</v>
      </c>
      <c r="W35" s="2">
        <f t="shared" si="22"/>
        <v>17131.833052105889</v>
      </c>
      <c r="X35" s="2">
        <f t="shared" si="22"/>
        <v>20719.659661310878</v>
      </c>
      <c r="Y35" s="2">
        <f t="shared" si="22"/>
        <v>25041.19759223525</v>
      </c>
      <c r="AA35" s="12" t="str">
        <f>IFERROR((E35/D35)-1,"")</f>
        <v/>
      </c>
      <c r="AB35" s="12" t="str">
        <f>IFERROR((J35/D35)^(1/6)-1,"")</f>
        <v/>
      </c>
      <c r="AC35" s="12" t="str">
        <f>IFERROR((O35/D35)^(1/11)-1,"")</f>
        <v/>
      </c>
      <c r="AD35" s="12" t="str">
        <f>IFERROR((T35/D35)^(1/16)-1,"")</f>
        <v/>
      </c>
      <c r="AE35" s="12" t="str">
        <f>IFERROR((Y35/D35)^(1/21)-1,"")</f>
        <v/>
      </c>
      <c r="AF35" s="12"/>
      <c r="AL35" s="58"/>
      <c r="AM35" s="58"/>
      <c r="AN35" s="58"/>
      <c r="AO35" s="58"/>
      <c r="AP35" s="39"/>
    </row>
    <row r="36" spans="2:42" x14ac:dyDescent="0.2">
      <c r="B36" t="s">
        <v>42</v>
      </c>
      <c r="D36" s="20">
        <f>O5*$D$9+MAX(D$27,0)*O5</f>
        <v>50</v>
      </c>
      <c r="E36" s="2">
        <f>D36*(1+Macro!D69)*(1-E31)+MAX(E$27,0)*$O5*(1-$V$14)</f>
        <v>38.697788697788695</v>
      </c>
      <c r="F36" s="2">
        <f>E36*(1+Macro!E69)*(1-F31)+MAX(F$27,0)*$O5*(1-$V$14)</f>
        <v>26.622557335088043</v>
      </c>
      <c r="G36" s="2">
        <f>F36*(1+Macro!F69)*(1-G31)+MAX(G$27,0)*$O5*(1-$V$14)</f>
        <v>13.73645464464002</v>
      </c>
      <c r="H36" s="2">
        <f>G36*(1+Macro!G69)*(1-H31)+MAX(H$27,0)*$O5*(1-$V$14)</f>
        <v>0</v>
      </c>
      <c r="I36" s="2">
        <f>H36*(1+Macro!H69)*(1-I31)+MAX(I$27,0)*$O5*(1-$V$14)</f>
        <v>0</v>
      </c>
      <c r="J36" s="2">
        <f>I36*(1+Macro!I69)*(1-J31)+MAX(J$27,0)*$O5*(1-$V$14)</f>
        <v>0</v>
      </c>
      <c r="K36" s="2">
        <f>J36*(1+Macro!J69)*(1-K31)+MAX(K$27,0)*$O5*(1-$V$14)</f>
        <v>0</v>
      </c>
      <c r="L36" s="2">
        <f>K36*(1+Macro!K69)*(1-L31)+MAX(L$27,0)*$O5*(1-$V$14)</f>
        <v>0</v>
      </c>
      <c r="M36" s="2">
        <f>L36*(1+Macro!L69)*(1-M31)+MAX(M$27,0)*$O5*(1-$V$14)</f>
        <v>0</v>
      </c>
      <c r="N36" s="2">
        <f>M36*(1+Macro!M69)*(1-N31)+MAX(N$27,0)*$O5*(1-$V$14)</f>
        <v>0</v>
      </c>
      <c r="O36" s="2">
        <f>N36*(1+Macro!N69)*(1-O31)+MAX(O$27,0)*$O5*(1-$V$14)</f>
        <v>0</v>
      </c>
      <c r="P36" s="2">
        <f>O36*(1+Macro!O69)*(1-P31)+MAX(P$27,0)*$O5*(1-$V$14)</f>
        <v>0</v>
      </c>
      <c r="Q36" s="2">
        <f>P36*(1+Macro!P69)*(1-Q31)+MAX(Q$27,0)*$O5*(1-$V$14)</f>
        <v>0</v>
      </c>
      <c r="R36" s="2">
        <f>Q36*(1+Macro!Q69)*(1-R31)+MAX(R$27,0)*$O5*(1-$V$14)</f>
        <v>0</v>
      </c>
      <c r="S36" s="2">
        <f>R36*(1+Macro!R69)*(1-S31)+MAX(S$27,0)*$O5*(1-$V$14)</f>
        <v>0</v>
      </c>
      <c r="T36" s="2">
        <f>S36*(1+Macro!S69)*(1-T31)+MAX(T$27,0)*$O5*(1-$V$14)</f>
        <v>0</v>
      </c>
      <c r="U36" s="2">
        <f>T36*(1+Macro!T69)*(1-U31)+MAX(U$27,0)*$O5*(1-$V$14)</f>
        <v>0</v>
      </c>
      <c r="V36" s="2">
        <f>U36*(1+Macro!U69)*(1-V31)+MAX(V$27,0)*$O5*(1-$V$14)</f>
        <v>0</v>
      </c>
      <c r="W36" s="2">
        <f>V36*(1+Macro!V69)*(1-W31)+MAX(W$27,0)*$O5*(1-$V$14)</f>
        <v>0</v>
      </c>
      <c r="X36" s="2">
        <f>W36*(1+Macro!W69)*(1-X31)+MAX(X$27,0)*$O5*(1-$V$14)</f>
        <v>0</v>
      </c>
      <c r="Y36" s="2">
        <f>X36*(1+Macro!X69)*(1-Y31)+MAX(Y$27,0)*$O5*(1-$V$14)</f>
        <v>0</v>
      </c>
      <c r="AA36" s="12">
        <f>IFERROR((E36/D36)-1,"")</f>
        <v>-0.22604422604422614</v>
      </c>
      <c r="AB36" s="12">
        <f>IFERROR((J36/D36)^(1/6)-1,"")</f>
        <v>-1</v>
      </c>
      <c r="AC36" s="12">
        <f>IFERROR((O36/D36)^(1/11)-1,"")</f>
        <v>-1</v>
      </c>
      <c r="AD36" s="12">
        <f>IFERROR((T36/D36)^(1/16)-1,"")</f>
        <v>-1</v>
      </c>
      <c r="AE36" s="12">
        <f>IFERROR((Y36/D36)^(1/21)-1,"")</f>
        <v>-1</v>
      </c>
      <c r="AF36" s="12"/>
      <c r="AH36" s="15"/>
      <c r="AI36" s="15"/>
      <c r="AL36" s="42"/>
      <c r="AM36" s="42"/>
      <c r="AN36" s="42"/>
      <c r="AO36" s="42"/>
    </row>
    <row r="37" spans="2:42" x14ac:dyDescent="0.2">
      <c r="B37" t="s">
        <v>46</v>
      </c>
      <c r="D37" s="20">
        <f>O6*$D$9+MAX(D$27,0)*O6</f>
        <v>0</v>
      </c>
      <c r="E37" s="2">
        <f>D37*(1+Macro!D71)*(1-E31)+MAX(E$27,0)*$O6*(1-$V$14)</f>
        <v>0</v>
      </c>
      <c r="F37" s="2">
        <f>E37*(1+Macro!E71)*(1-F31)+MAX(F$27,0)*$O6*(1-$V$14)</f>
        <v>0</v>
      </c>
      <c r="G37" s="2">
        <f>F37*(1+Macro!F71)*(1-G31)+MAX(G$27,0)*$O6*(1-$V$14)</f>
        <v>0</v>
      </c>
      <c r="H37" s="2">
        <f>G37*(1+Macro!G71)*(1-H31)+MAX(H$27,0)*$O6*(1-$V$14)</f>
        <v>0</v>
      </c>
      <c r="I37" s="2">
        <f>H37*(1+Macro!H71)*(1-I31)+MAX(I$27,0)*$O6*(1-$V$14)</f>
        <v>0</v>
      </c>
      <c r="J37" s="2">
        <f>I37*(1+Macro!I71)*(1-J31)+MAX(J$27,0)*$O6*(1-$V$14)</f>
        <v>0</v>
      </c>
      <c r="K37" s="2">
        <f>J37*(1+Macro!J71)*(1-K31)+MAX(K$27,0)*$O6*(1-$V$14)</f>
        <v>0</v>
      </c>
      <c r="L37" s="2">
        <f>K37*(1+Macro!K71)*(1-L31)+MAX(L$27,0)*$O6*(1-$V$14)</f>
        <v>0</v>
      </c>
      <c r="M37" s="2">
        <f>L37*(1+Macro!L71)*(1-M31)+MAX(M$27,0)*$O6*(1-$V$14)</f>
        <v>0</v>
      </c>
      <c r="N37" s="2">
        <f>M37*(1+Macro!M71)*(1-N31)+MAX(N$27,0)*$O6*(1-$V$14)</f>
        <v>0</v>
      </c>
      <c r="O37" s="2">
        <f>N37*(1+Macro!N71)*(1-O31)+MAX(O$27,0)*$O6*(1-$V$14)</f>
        <v>0</v>
      </c>
      <c r="P37" s="2">
        <f>O37*(1+Macro!O71)*(1-P31)+MAX(P$27,0)*$O6*(1-$V$14)</f>
        <v>0</v>
      </c>
      <c r="Q37" s="2">
        <f>P37*(1+Macro!P71)*(1-Q31)+MAX(Q$27,0)*$O6*(1-$V$14)</f>
        <v>0</v>
      </c>
      <c r="R37" s="2">
        <f>Q37*(1+Macro!Q71)*(1-R31)+MAX(R$27,0)*$O6*(1-$V$14)</f>
        <v>0</v>
      </c>
      <c r="S37" s="2">
        <f>R37*(1+Macro!R71)*(1-S31)+MAX(S$27,0)*$O6*(1-$V$14)</f>
        <v>0</v>
      </c>
      <c r="T37" s="2">
        <f>S37*(1+Macro!S71)*(1-T31)+MAX(T$27,0)*$O6*(1-$V$14)</f>
        <v>0</v>
      </c>
      <c r="U37" s="2">
        <f>T37*(1+Macro!T71)*(1-U31)+MAX(U$27,0)*$O6*(1-$V$14)</f>
        <v>0</v>
      </c>
      <c r="V37" s="2">
        <f>U37*(1+Macro!U71)*(1-V31)+MAX(V$27,0)*$O6*(1-$V$14)</f>
        <v>0</v>
      </c>
      <c r="W37" s="2">
        <f>V37*(1+Macro!V71)*(1-W31)+MAX(W$27,0)*$O6*(1-$V$14)</f>
        <v>0</v>
      </c>
      <c r="X37" s="2">
        <f>W37*(1+Macro!W71)*(1-X31)+MAX(X$27,0)*$O6*(1-$V$14)</f>
        <v>0</v>
      </c>
      <c r="Y37" s="2">
        <f>X37*(1+Macro!X71)*(1-Y31)+MAX(Y$27,0)*$O6*(1-$V$14)</f>
        <v>0</v>
      </c>
      <c r="AA37" s="12" t="str">
        <f>IFERROR((E37/D37)-1,"")</f>
        <v/>
      </c>
      <c r="AB37" s="12" t="str">
        <f>IFERROR((J37/D37)^(1/6)-1,"")</f>
        <v/>
      </c>
      <c r="AC37" s="12" t="str">
        <f>IFERROR((O37/D37)^(1/11)-1,"")</f>
        <v/>
      </c>
      <c r="AD37" s="12" t="str">
        <f>IFERROR((T37/D37)^(1/16)-1,"")</f>
        <v/>
      </c>
      <c r="AE37" s="12" t="str">
        <f>IFERROR((Y37/D37)^(1/21)-1,"")</f>
        <v/>
      </c>
      <c r="AF37" s="12"/>
    </row>
    <row r="38" spans="2:42" x14ac:dyDescent="0.2">
      <c r="B38" t="s">
        <v>51</v>
      </c>
      <c r="D38" s="20">
        <f>O7*$D$9+MAX(D$27,0)*O7</f>
        <v>30</v>
      </c>
      <c r="E38" s="2">
        <f>D38*(1+Macro!D75)*(1-E31)+MAX(E$27,0)*$O7*(1-$V$14)</f>
        <v>24.075000000000003</v>
      </c>
      <c r="F38" s="2">
        <f>E38*(1+Macro!E75)*(1-F31)+MAX(F$27,0)*$O7*(1-$V$14)</f>
        <v>17.173500000000008</v>
      </c>
      <c r="G38" s="2">
        <f>F38*(1+Macro!F75)*(1-G31)+MAX(G$27,0)*$O7*(1-$V$14)</f>
        <v>9.1878225000000047</v>
      </c>
      <c r="H38" s="2">
        <f>G38*(1+Macro!G75)*(1-H31)+MAX(H$27,0)*$O7*(1-$V$14)</f>
        <v>0</v>
      </c>
      <c r="I38" s="2">
        <f>H38*(1+Macro!H75)*(1-I31)+MAX(I$27,0)*$O7*(1-$V$14)</f>
        <v>0</v>
      </c>
      <c r="J38" s="2">
        <f>I38*(1+Macro!I75)*(1-J31)+MAX(J$27,0)*$O7*(1-$V$14)</f>
        <v>0</v>
      </c>
      <c r="K38" s="2">
        <f>J38*(1+Macro!J75)*(1-K31)+MAX(K$27,0)*$O7*(1-$V$14)</f>
        <v>0</v>
      </c>
      <c r="L38" s="2">
        <f>K38*(1+Macro!K75)*(1-L31)+MAX(L$27,0)*$O7*(1-$V$14)</f>
        <v>0</v>
      </c>
      <c r="M38" s="2">
        <f>L38*(1+Macro!L75)*(1-M31)+MAX(M$27,0)*$O7*(1-$V$14)</f>
        <v>0</v>
      </c>
      <c r="N38" s="2">
        <f>M38*(1+Macro!M75)*(1-N31)+MAX(N$27,0)*$O7*(1-$V$14)</f>
        <v>0</v>
      </c>
      <c r="O38" s="2">
        <f>N38*(1+Macro!N75)*(1-O31)+MAX(O$27,0)*$O7*(1-$V$14)</f>
        <v>0</v>
      </c>
      <c r="P38" s="2">
        <f>O38*(1+Macro!O75)*(1-P31)+MAX(P$27,0)*$O7*(1-$V$14)</f>
        <v>0</v>
      </c>
      <c r="Q38" s="2">
        <f>P38*(1+Macro!P75)*(1-Q31)+MAX(Q$27,0)*$O7*(1-$V$14)</f>
        <v>0</v>
      </c>
      <c r="R38" s="2">
        <f>Q38*(1+Macro!Q75)*(1-R31)+MAX(R$27,0)*$O7*(1-$V$14)</f>
        <v>0</v>
      </c>
      <c r="S38" s="2">
        <f>R38*(1+Macro!R75)*(1-S31)+MAX(S$27,0)*$O7*(1-$V$14)</f>
        <v>0</v>
      </c>
      <c r="T38" s="2">
        <f>S38*(1+Macro!S75)*(1-T31)+MAX(T$27,0)*$O7*(1-$V$14)</f>
        <v>0</v>
      </c>
      <c r="U38" s="2">
        <f>T38*(1+Macro!T75)*(1-U31)+MAX(U$27,0)*$O7*(1-$V$14)</f>
        <v>0</v>
      </c>
      <c r="V38" s="2">
        <f>U38*(1+Macro!U75)*(1-V31)+MAX(V$27,0)*$O7*(1-$V$14)</f>
        <v>0</v>
      </c>
      <c r="W38" s="2">
        <f>V38*(1+Macro!V75)*(1-W31)+MAX(W$27,0)*$O7*(1-$V$14)</f>
        <v>0</v>
      </c>
      <c r="X38" s="2">
        <f>W38*(1+Macro!W75)*(1-X31)+MAX(X$27,0)*$O7*(1-$V$14)</f>
        <v>0</v>
      </c>
      <c r="Y38" s="2">
        <f>X38*(1+Macro!X75)*(1-Y31)+MAX(Y$27,0)*$O7*(1-$V$14)</f>
        <v>0</v>
      </c>
      <c r="AA38" s="12">
        <f>IFERROR((E38/D38)-1,"")</f>
        <v>-0.1974999999999999</v>
      </c>
      <c r="AB38" s="12">
        <f>IFERROR((J38/D38)^(1/6)-1,"")</f>
        <v>-1</v>
      </c>
      <c r="AC38" s="12">
        <f>IFERROR((O38/D38)^(1/11)-1,"")</f>
        <v>-1</v>
      </c>
      <c r="AD38" s="12">
        <f>IFERROR((T38/D38)^(1/16)-1,"")</f>
        <v>-1</v>
      </c>
      <c r="AE38" s="12">
        <f>IFERROR((Y38/D38)^(1/21)-1,"")</f>
        <v>-1</v>
      </c>
      <c r="AF38" s="12"/>
    </row>
    <row r="39" spans="2:42" x14ac:dyDescent="0.2">
      <c r="B39" s="134" t="s">
        <v>224</v>
      </c>
      <c r="C39" s="134"/>
      <c r="D39" s="176">
        <f t="shared" ref="D39:Y39" si="23">SUM(D35:D38)</f>
        <v>80</v>
      </c>
      <c r="E39" s="176">
        <f t="shared" si="23"/>
        <v>109.1727886977887</v>
      </c>
      <c r="F39" s="176">
        <f t="shared" si="23"/>
        <v>162.20032023435098</v>
      </c>
      <c r="G39" s="176">
        <f t="shared" si="23"/>
        <v>248.45248701611527</v>
      </c>
      <c r="H39" s="176">
        <f t="shared" si="23"/>
        <v>379.44037621149226</v>
      </c>
      <c r="I39" s="176">
        <f t="shared" si="23"/>
        <v>569.8687666960891</v>
      </c>
      <c r="J39" s="176">
        <f t="shared" si="23"/>
        <v>826.08701820712247</v>
      </c>
      <c r="K39" s="176">
        <f t="shared" si="23"/>
        <v>1161.9866849796151</v>
      </c>
      <c r="L39" s="176">
        <f t="shared" si="23"/>
        <v>1591.0784890379896</v>
      </c>
      <c r="M39" s="176">
        <f t="shared" si="23"/>
        <v>2124.9927803333862</v>
      </c>
      <c r="N39" s="176">
        <f t="shared" si="23"/>
        <v>2771.6156139674672</v>
      </c>
      <c r="O39" s="176">
        <f t="shared" si="23"/>
        <v>3532.9943184059739</v>
      </c>
      <c r="P39" s="176">
        <f t="shared" si="23"/>
        <v>4403.2403210886214</v>
      </c>
      <c r="Q39" s="176">
        <f t="shared" si="23"/>
        <v>5366.7428944517806</v>
      </c>
      <c r="R39" s="176">
        <f t="shared" si="23"/>
        <v>6531.231433402113</v>
      </c>
      <c r="S39" s="176">
        <f t="shared" si="23"/>
        <v>7937.7316761485108</v>
      </c>
      <c r="T39" s="176">
        <f t="shared" si="23"/>
        <v>9635.5573630507861</v>
      </c>
      <c r="U39" s="176">
        <f t="shared" si="23"/>
        <v>11683.976122500775</v>
      </c>
      <c r="V39" s="176">
        <f t="shared" si="23"/>
        <v>14154.209362524742</v>
      </c>
      <c r="W39" s="176">
        <f t="shared" si="23"/>
        <v>17131.833052105889</v>
      </c>
      <c r="X39" s="176">
        <f t="shared" si="23"/>
        <v>20719.659661310878</v>
      </c>
      <c r="Y39" s="176">
        <f t="shared" si="23"/>
        <v>25041.19759223525</v>
      </c>
      <c r="AA39" s="14">
        <f>IFERROR((E39/D39)-1,"")</f>
        <v>0.36465985872235884</v>
      </c>
      <c r="AB39" s="14">
        <f>IFERROR((J39/D39)^(1/6)-1,"")</f>
        <v>0.47567018164145369</v>
      </c>
      <c r="AC39" s="14">
        <f>IFERROR((O39/D39)^(1/11)-1,"")</f>
        <v>0.41107555503840887</v>
      </c>
      <c r="AD39" s="14">
        <f>IFERROR((T39/D39)^(1/16)-1,"")</f>
        <v>0.3491156443257406</v>
      </c>
      <c r="AE39" s="136">
        <f>IFERROR((Y39/D39)^(1/21)-1,"")</f>
        <v>0.31472957854307659</v>
      </c>
      <c r="AF39" s="15"/>
    </row>
    <row r="40" spans="2:42" ht="4" customHeight="1" x14ac:dyDescent="0.2">
      <c r="B40" s="59"/>
      <c r="C40" s="59"/>
      <c r="D40" s="23"/>
      <c r="E40" s="23"/>
      <c r="F40" s="23"/>
      <c r="G40" s="23"/>
      <c r="H40" s="23"/>
      <c r="I40" s="23"/>
      <c r="J40" s="23"/>
      <c r="K40" s="23"/>
      <c r="L40" s="23"/>
      <c r="M40" s="23"/>
      <c r="N40" s="23"/>
      <c r="O40" s="23"/>
      <c r="P40" s="23"/>
      <c r="Q40" s="23"/>
      <c r="R40" s="23"/>
      <c r="S40" s="23"/>
      <c r="T40" s="23"/>
      <c r="U40" s="23"/>
      <c r="V40" s="23"/>
      <c r="W40" s="23"/>
      <c r="X40" s="23"/>
      <c r="Y40" s="23"/>
      <c r="Z40" s="3"/>
      <c r="AA40" s="15"/>
      <c r="AB40" s="15"/>
      <c r="AC40" s="15"/>
      <c r="AD40" s="15"/>
      <c r="AE40" s="15"/>
      <c r="AF40" s="15"/>
      <c r="AH40" s="12">
        <f t="shared" ref="AH40:AH41" si="24">D36/D$39</f>
        <v>0.625</v>
      </c>
      <c r="AI40" s="12">
        <f>Y36/Y$39</f>
        <v>0</v>
      </c>
      <c r="AL40" s="58"/>
      <c r="AM40" s="58"/>
      <c r="AN40" s="58"/>
      <c r="AO40" s="58"/>
      <c r="AP40" s="39"/>
    </row>
    <row r="41" spans="2:42" hidden="1" outlineLevel="1" x14ac:dyDescent="0.2">
      <c r="B41" t="s">
        <v>225</v>
      </c>
      <c r="D41" s="2">
        <f>MIN(D7,0)</f>
        <v>-360</v>
      </c>
      <c r="E41" s="2">
        <f t="shared" ref="E41:Y41" si="25">D43</f>
        <v>-400.2</v>
      </c>
      <c r="F41" s="2">
        <f t="shared" si="25"/>
        <v>-471.11399999999998</v>
      </c>
      <c r="G41" s="2">
        <f t="shared" si="25"/>
        <v>-551.28197999999998</v>
      </c>
      <c r="H41" s="2">
        <f t="shared" si="25"/>
        <v>-641.7807186</v>
      </c>
      <c r="I41" s="2">
        <f t="shared" si="25"/>
        <v>-743.80526890200008</v>
      </c>
      <c r="J41" s="2">
        <f t="shared" si="25"/>
        <v>-858.68152772514009</v>
      </c>
      <c r="K41" s="2">
        <f t="shared" si="25"/>
        <v>-987.8801136658999</v>
      </c>
      <c r="L41" s="2">
        <f t="shared" si="25"/>
        <v>-1133.0316885225129</v>
      </c>
      <c r="M41" s="2">
        <f t="shared" si="25"/>
        <v>-1295.9438703090889</v>
      </c>
      <c r="N41" s="2">
        <f t="shared" si="25"/>
        <v>-1478.6199011797253</v>
      </c>
      <c r="O41" s="2">
        <f t="shared" si="25"/>
        <v>-1683.2792502062061</v>
      </c>
      <c r="P41" s="2">
        <f t="shared" si="25"/>
        <v>-1912.3803492589307</v>
      </c>
      <c r="Q41" s="2">
        <f t="shared" si="25"/>
        <v>-2168.645680399175</v>
      </c>
      <c r="R41" s="2">
        <f t="shared" si="25"/>
        <v>-2455.0894553884482</v>
      </c>
      <c r="S41" s="2">
        <f t="shared" si="25"/>
        <v>-2775.0481523631038</v>
      </c>
      <c r="T41" s="2">
        <f t="shared" si="25"/>
        <v>-3132.2142016357316</v>
      </c>
      <c r="U41" s="2">
        <f t="shared" si="25"/>
        <v>-3530.6731422181647</v>
      </c>
      <c r="V41" s="2">
        <f t="shared" si="25"/>
        <v>-3974.944603288161</v>
      </c>
      <c r="W41" s="2">
        <f t="shared" si="25"/>
        <v>-4470.0275007445298</v>
      </c>
      <c r="X41" s="2">
        <f t="shared" si="25"/>
        <v>-5021.4498785454643</v>
      </c>
      <c r="Y41" s="2">
        <f t="shared" si="25"/>
        <v>-5635.3238680673458</v>
      </c>
      <c r="AA41" s="12">
        <f>IFERROR((E41/D41)-1,"")</f>
        <v>0.11166666666666658</v>
      </c>
      <c r="AB41" s="12">
        <f>IFERROR((J41/D41)^(1/6)-1,"")</f>
        <v>0.15590356522127169</v>
      </c>
      <c r="AC41" s="12">
        <f>IFERROR((O41/D41)^(1/11)-1,"")</f>
        <v>0.15052427974074645</v>
      </c>
      <c r="AD41" s="12">
        <f>IFERROR((T41/D41)^(1/16)-1,"")</f>
        <v>0.1447794099903208</v>
      </c>
      <c r="AE41" s="12">
        <f>IFERROR((Y41/D41)^(1/21)-1,"")</f>
        <v>0.13995181469528561</v>
      </c>
      <c r="AF41" s="12"/>
      <c r="AH41" s="12">
        <f t="shared" si="24"/>
        <v>0</v>
      </c>
      <c r="AI41" s="12">
        <f>Y37/Y$39</f>
        <v>0</v>
      </c>
      <c r="AL41" s="42"/>
      <c r="AM41" s="42"/>
      <c r="AN41" s="42"/>
      <c r="AO41" s="42"/>
    </row>
    <row r="42" spans="2:42" hidden="1" outlineLevel="1" x14ac:dyDescent="0.2">
      <c r="B42" s="48" t="s">
        <v>163</v>
      </c>
      <c r="C42" s="48"/>
      <c r="D42" s="2">
        <f t="shared" ref="D42:Y42" si="26">-D28-D29</f>
        <v>-40.200000000000003</v>
      </c>
      <c r="E42" s="2">
        <f t="shared" si="26"/>
        <v>-70.914000000000001</v>
      </c>
      <c r="F42" s="2">
        <f t="shared" si="26"/>
        <v>-80.167980000000014</v>
      </c>
      <c r="G42" s="2">
        <f t="shared" si="26"/>
        <v>-90.49873860000001</v>
      </c>
      <c r="H42" s="2">
        <f t="shared" si="26"/>
        <v>-102.02455030200002</v>
      </c>
      <c r="I42" s="2">
        <f t="shared" si="26"/>
        <v>-114.87625882314001</v>
      </c>
      <c r="J42" s="2">
        <f t="shared" si="26"/>
        <v>-129.19858594075981</v>
      </c>
      <c r="K42" s="2">
        <f t="shared" si="26"/>
        <v>-145.151574856613</v>
      </c>
      <c r="L42" s="2">
        <f t="shared" si="26"/>
        <v>-162.91218178657593</v>
      </c>
      <c r="M42" s="2">
        <f t="shared" si="26"/>
        <v>-182.67603087063628</v>
      </c>
      <c r="N42" s="2">
        <f t="shared" si="26"/>
        <v>-204.65934902648084</v>
      </c>
      <c r="O42" s="2">
        <f t="shared" si="26"/>
        <v>-229.10109905272452</v>
      </c>
      <c r="P42" s="2">
        <f t="shared" si="26"/>
        <v>-256.26533114024426</v>
      </c>
      <c r="Q42" s="2">
        <f t="shared" si="26"/>
        <v>-286.44377498927332</v>
      </c>
      <c r="R42" s="2">
        <f t="shared" si="26"/>
        <v>-319.9586969746556</v>
      </c>
      <c r="S42" s="2">
        <f t="shared" si="26"/>
        <v>-357.16604927262796</v>
      </c>
      <c r="T42" s="2">
        <f t="shared" si="26"/>
        <v>-398.458940582433</v>
      </c>
      <c r="U42" s="2">
        <f t="shared" si="26"/>
        <v>-444.27146106999646</v>
      </c>
      <c r="V42" s="2">
        <f t="shared" si="26"/>
        <v>-495.08289745636864</v>
      </c>
      <c r="W42" s="2">
        <f t="shared" si="26"/>
        <v>-551.42237780093421</v>
      </c>
      <c r="X42" s="2">
        <f t="shared" si="26"/>
        <v>-613.8739895218813</v>
      </c>
      <c r="Y42" s="2">
        <f t="shared" si="26"/>
        <v>-683.08241859078294</v>
      </c>
      <c r="AH42" s="12" t="e">
        <f>#REF!/D$39</f>
        <v>#REF!</v>
      </c>
      <c r="AI42" s="12" t="e">
        <f>#REF!/Y$39</f>
        <v>#REF!</v>
      </c>
      <c r="AL42" s="42"/>
      <c r="AM42" s="42"/>
      <c r="AN42" s="42"/>
      <c r="AO42" s="42"/>
    </row>
    <row r="43" spans="2:42" collapsed="1" x14ac:dyDescent="0.2">
      <c r="B43" s="52" t="s">
        <v>206</v>
      </c>
      <c r="C43" s="52"/>
      <c r="D43" s="53">
        <f t="shared" ref="D43:Y43" si="27">SUM(D41:D42)</f>
        <v>-400.2</v>
      </c>
      <c r="E43" s="53">
        <f t="shared" si="27"/>
        <v>-471.11399999999998</v>
      </c>
      <c r="F43" s="53">
        <f t="shared" si="27"/>
        <v>-551.28197999999998</v>
      </c>
      <c r="G43" s="53">
        <f t="shared" si="27"/>
        <v>-641.7807186</v>
      </c>
      <c r="H43" s="53">
        <f t="shared" si="27"/>
        <v>-743.80526890200008</v>
      </c>
      <c r="I43" s="53">
        <f t="shared" si="27"/>
        <v>-858.68152772514009</v>
      </c>
      <c r="J43" s="53">
        <f t="shared" si="27"/>
        <v>-987.8801136658999</v>
      </c>
      <c r="K43" s="53">
        <f t="shared" si="27"/>
        <v>-1133.0316885225129</v>
      </c>
      <c r="L43" s="53">
        <f t="shared" si="27"/>
        <v>-1295.9438703090889</v>
      </c>
      <c r="M43" s="53">
        <f t="shared" si="27"/>
        <v>-1478.6199011797253</v>
      </c>
      <c r="N43" s="53">
        <f t="shared" si="27"/>
        <v>-1683.2792502062061</v>
      </c>
      <c r="O43" s="53">
        <f t="shared" si="27"/>
        <v>-1912.3803492589307</v>
      </c>
      <c r="P43" s="53">
        <f t="shared" si="27"/>
        <v>-2168.645680399175</v>
      </c>
      <c r="Q43" s="53">
        <f t="shared" si="27"/>
        <v>-2455.0894553884482</v>
      </c>
      <c r="R43" s="53">
        <f t="shared" si="27"/>
        <v>-2775.0481523631038</v>
      </c>
      <c r="S43" s="53">
        <f t="shared" si="27"/>
        <v>-3132.2142016357316</v>
      </c>
      <c r="T43" s="53">
        <f t="shared" si="27"/>
        <v>-3530.6731422181647</v>
      </c>
      <c r="U43" s="53">
        <f t="shared" si="27"/>
        <v>-3974.944603288161</v>
      </c>
      <c r="V43" s="53">
        <f t="shared" si="27"/>
        <v>-4470.0275007445298</v>
      </c>
      <c r="W43" s="53">
        <f t="shared" si="27"/>
        <v>-5021.4498785454643</v>
      </c>
      <c r="X43" s="53">
        <f t="shared" si="27"/>
        <v>-5635.3238680673458</v>
      </c>
      <c r="Y43" s="53">
        <f t="shared" si="27"/>
        <v>-6318.4062866581289</v>
      </c>
      <c r="Z43" s="3"/>
      <c r="AA43" s="13">
        <f>IFERROR((E43/D43)-1,"")</f>
        <v>0.17719640179910034</v>
      </c>
      <c r="AB43" s="13">
        <f>IFERROR((J43/D43)^(1/6)-1,"")</f>
        <v>0.16253095680214558</v>
      </c>
      <c r="AC43" s="13">
        <f>IFERROR((O43/D43)^(1/11)-1,"")</f>
        <v>0.15280085478894367</v>
      </c>
      <c r="AD43" s="13">
        <f>IFERROR((T43/D43)^(1/16)-1,"")</f>
        <v>0.14577350894958774</v>
      </c>
      <c r="AE43" s="54">
        <f>IFERROR((Y43/D43)^(1/21)-1,"")</f>
        <v>0.14041614080225617</v>
      </c>
      <c r="AF43" s="13"/>
      <c r="AH43" s="12">
        <f t="shared" ref="AH43:AH44" si="28">D38/D$39</f>
        <v>0.375</v>
      </c>
      <c r="AI43" s="12">
        <f>Y38/Y$39</f>
        <v>0</v>
      </c>
      <c r="AL43" s="42"/>
      <c r="AM43" s="42"/>
      <c r="AN43" s="42"/>
      <c r="AO43" s="42"/>
    </row>
    <row r="44" spans="2:42" x14ac:dyDescent="0.2">
      <c r="B44" s="18" t="s">
        <v>141</v>
      </c>
      <c r="C44" s="18"/>
      <c r="D44" s="70" t="str">
        <f t="shared" ref="D44:Y44" si="29">IFERROR(-D43/D35,"NM")</f>
        <v>NM</v>
      </c>
      <c r="E44" s="70">
        <f t="shared" si="29"/>
        <v>10.153318965517242</v>
      </c>
      <c r="F44" s="70">
        <f t="shared" si="29"/>
        <v>4.6559301709350178</v>
      </c>
      <c r="G44" s="70">
        <f t="shared" si="29"/>
        <v>2.8456782367302971</v>
      </c>
      <c r="H44" s="70">
        <f t="shared" si="29"/>
        <v>1.9602691635731941</v>
      </c>
      <c r="I44" s="70">
        <f t="shared" si="29"/>
        <v>1.5068057382816258</v>
      </c>
      <c r="J44" s="70">
        <f t="shared" si="29"/>
        <v>1.195854785141063</v>
      </c>
      <c r="K44" s="70">
        <f t="shared" si="29"/>
        <v>0.97508147310860949</v>
      </c>
      <c r="L44" s="70">
        <f t="shared" si="29"/>
        <v>0.81450656220778439</v>
      </c>
      <c r="M44" s="70">
        <f t="shared" si="29"/>
        <v>0.69582349402041133</v>
      </c>
      <c r="N44" s="70">
        <f t="shared" si="29"/>
        <v>0.60732781332424846</v>
      </c>
      <c r="O44" s="70">
        <f t="shared" si="29"/>
        <v>0.54129165713511918</v>
      </c>
      <c r="P44" s="70">
        <f t="shared" si="29"/>
        <v>0.49251131490888433</v>
      </c>
      <c r="Q44" s="70">
        <f t="shared" si="29"/>
        <v>0.45746358707188239</v>
      </c>
      <c r="R44" s="70">
        <f t="shared" si="29"/>
        <v>0.42488896323148412</v>
      </c>
      <c r="S44" s="70">
        <f t="shared" si="29"/>
        <v>0.39459814584656283</v>
      </c>
      <c r="T44" s="70">
        <f t="shared" si="29"/>
        <v>0.36642126751869514</v>
      </c>
      <c r="U44" s="70">
        <f t="shared" si="29"/>
        <v>0.34020478659086695</v>
      </c>
      <c r="V44" s="70">
        <f t="shared" si="29"/>
        <v>0.31580905625004785</v>
      </c>
      <c r="W44" s="70">
        <f t="shared" si="29"/>
        <v>0.2931063980878692</v>
      </c>
      <c r="X44" s="70">
        <f t="shared" si="29"/>
        <v>0.27197955758848663</v>
      </c>
      <c r="Y44" s="70">
        <f t="shared" si="29"/>
        <v>0.2523204516631159</v>
      </c>
      <c r="AA44" s="12"/>
      <c r="AB44" s="12"/>
      <c r="AC44" s="12"/>
      <c r="AD44" s="12"/>
      <c r="AE44" s="12"/>
      <c r="AF44" s="12"/>
      <c r="AH44" s="14">
        <f t="shared" si="28"/>
        <v>1</v>
      </c>
      <c r="AI44" s="14">
        <f>Y39/Y$39</f>
        <v>1</v>
      </c>
      <c r="AL44" s="42"/>
      <c r="AM44" s="42"/>
      <c r="AN44" s="42"/>
      <c r="AO44" s="42"/>
    </row>
    <row r="45" spans="2:42" ht="4" customHeight="1" x14ac:dyDescent="0.2">
      <c r="B45" s="3"/>
      <c r="C45" s="3"/>
      <c r="D45" s="36"/>
      <c r="E45" s="23"/>
      <c r="F45" s="23"/>
      <c r="G45" s="23"/>
      <c r="H45" s="23"/>
      <c r="I45" s="23"/>
      <c r="J45" s="23"/>
      <c r="K45" s="23"/>
      <c r="L45" s="23"/>
      <c r="M45" s="23"/>
      <c r="N45" s="23"/>
      <c r="O45" s="23"/>
      <c r="P45" s="23"/>
      <c r="Q45" s="23"/>
      <c r="R45" s="23"/>
      <c r="S45" s="23"/>
      <c r="T45" s="23"/>
      <c r="U45" s="23"/>
      <c r="V45" s="23"/>
      <c r="W45" s="23"/>
      <c r="X45" s="23"/>
      <c r="Y45" s="23"/>
      <c r="AA45" s="12"/>
      <c r="AB45" s="12"/>
      <c r="AC45" s="12"/>
      <c r="AD45" s="12"/>
      <c r="AE45" s="12"/>
      <c r="AF45" s="12"/>
    </row>
    <row r="46" spans="2:42" x14ac:dyDescent="0.2">
      <c r="B46" s="134" t="s">
        <v>226</v>
      </c>
      <c r="C46" s="134"/>
      <c r="D46" s="176">
        <f t="shared" ref="D46:Y46" si="30">D39+D43</f>
        <v>-320.2</v>
      </c>
      <c r="E46" s="176">
        <f t="shared" si="30"/>
        <v>-361.94121130221129</v>
      </c>
      <c r="F46" s="176">
        <f t="shared" si="30"/>
        <v>-389.08165976564896</v>
      </c>
      <c r="G46" s="176">
        <f t="shared" si="30"/>
        <v>-393.32823158388476</v>
      </c>
      <c r="H46" s="176">
        <f t="shared" si="30"/>
        <v>-364.36489269050782</v>
      </c>
      <c r="I46" s="176">
        <f t="shared" si="30"/>
        <v>-288.81276102905099</v>
      </c>
      <c r="J46" s="176">
        <f t="shared" si="30"/>
        <v>-161.79309545877743</v>
      </c>
      <c r="K46" s="176">
        <f t="shared" si="30"/>
        <v>28.954996457102197</v>
      </c>
      <c r="L46" s="176">
        <f t="shared" si="30"/>
        <v>295.1346187289007</v>
      </c>
      <c r="M46" s="176">
        <f t="shared" si="30"/>
        <v>646.37287915366096</v>
      </c>
      <c r="N46" s="176">
        <f t="shared" si="30"/>
        <v>1088.3363637612611</v>
      </c>
      <c r="O46" s="176">
        <f t="shared" si="30"/>
        <v>1620.6139691470432</v>
      </c>
      <c r="P46" s="176">
        <f t="shared" si="30"/>
        <v>2234.5946406894464</v>
      </c>
      <c r="Q46" s="176">
        <f t="shared" si="30"/>
        <v>2911.6534390633324</v>
      </c>
      <c r="R46" s="176">
        <f t="shared" si="30"/>
        <v>3756.1832810390092</v>
      </c>
      <c r="S46" s="176">
        <f t="shared" si="30"/>
        <v>4805.5174745127788</v>
      </c>
      <c r="T46" s="176">
        <f t="shared" si="30"/>
        <v>6104.8842208326214</v>
      </c>
      <c r="U46" s="176">
        <f t="shared" si="30"/>
        <v>7709.0315192126145</v>
      </c>
      <c r="V46" s="176">
        <f t="shared" si="30"/>
        <v>9684.1818617802128</v>
      </c>
      <c r="W46" s="176">
        <f t="shared" si="30"/>
        <v>12110.383173560425</v>
      </c>
      <c r="X46" s="176">
        <f t="shared" si="30"/>
        <v>15084.335793243532</v>
      </c>
      <c r="Y46" s="176">
        <f t="shared" si="30"/>
        <v>18722.791305577121</v>
      </c>
      <c r="AA46" s="14">
        <f>IFERROR((E46/D46)-1,"")</f>
        <v>0.13035981043788669</v>
      </c>
      <c r="AB46" s="14">
        <f>IFERROR((J46/D46)^(1/6)-1,"")</f>
        <v>-0.10753791232500254</v>
      </c>
      <c r="AC46" s="14">
        <f>IFERROR((O46/D46)^(1/11)-1,"")</f>
        <v>-2.1588399996347603</v>
      </c>
      <c r="AD46" s="14" t="str">
        <f>IFERROR((T46/D46)^(1/16)-1,"")</f>
        <v/>
      </c>
      <c r="AE46" s="136"/>
      <c r="AF46" s="15"/>
    </row>
    <row r="48" spans="2:42" ht="16" x14ac:dyDescent="0.2">
      <c r="B48" s="315" t="s">
        <v>227</v>
      </c>
      <c r="C48" s="315"/>
      <c r="D48" s="315"/>
      <c r="E48" s="315"/>
      <c r="F48" s="315"/>
      <c r="G48" s="315"/>
      <c r="H48" s="315"/>
      <c r="I48" s="315"/>
      <c r="J48" s="315"/>
      <c r="K48" s="315"/>
      <c r="L48" s="315"/>
      <c r="M48" s="315"/>
      <c r="N48" s="315"/>
      <c r="O48" s="315"/>
      <c r="P48" s="315"/>
      <c r="Q48" s="315"/>
      <c r="R48" s="315"/>
      <c r="S48" s="315"/>
      <c r="T48" s="315"/>
      <c r="U48" s="315"/>
      <c r="V48" s="315"/>
      <c r="W48" s="315"/>
      <c r="X48" s="315"/>
      <c r="Y48" s="315"/>
      <c r="Z48" s="315"/>
      <c r="AA48" s="315"/>
      <c r="AB48" s="315"/>
      <c r="AC48" s="315"/>
      <c r="AD48" s="315"/>
      <c r="AE48" s="315"/>
      <c r="AF48" s="315"/>
      <c r="AG48" s="315"/>
      <c r="AH48" s="315"/>
      <c r="AI48" s="315"/>
      <c r="AJ48" s="315"/>
      <c r="AK48" s="315"/>
      <c r="AL48" s="315"/>
      <c r="AM48" s="315"/>
      <c r="AN48" s="315"/>
    </row>
    <row r="62" spans="36:39" x14ac:dyDescent="0.2">
      <c r="AJ62" s="75"/>
      <c r="AK62" s="75"/>
      <c r="AL62" s="75"/>
      <c r="AM62" s="75"/>
    </row>
    <row r="63" spans="36:39" x14ac:dyDescent="0.2">
      <c r="AK63" s="74"/>
    </row>
    <row r="72" spans="2:40" x14ac:dyDescent="0.2">
      <c r="B72" s="11"/>
      <c r="C72" s="236"/>
      <c r="D72" s="236"/>
      <c r="E72" s="236"/>
      <c r="AK72" s="240"/>
      <c r="AL72" s="240"/>
      <c r="AM72" s="240"/>
    </row>
    <row r="78" spans="2:40" ht="16" x14ac:dyDescent="0.2">
      <c r="B78" s="315" t="s">
        <v>115</v>
      </c>
      <c r="C78" s="315"/>
      <c r="D78" s="315"/>
      <c r="E78" s="315"/>
      <c r="F78" s="315"/>
      <c r="G78" s="315"/>
      <c r="H78" s="315"/>
      <c r="I78" s="315"/>
      <c r="J78" s="315"/>
      <c r="K78" s="315"/>
      <c r="L78" s="315"/>
      <c r="M78" s="315"/>
      <c r="N78" s="315"/>
      <c r="O78" s="315"/>
      <c r="P78" s="315"/>
      <c r="Q78" s="315"/>
      <c r="R78" s="315"/>
      <c r="S78" s="315"/>
      <c r="T78" s="315"/>
      <c r="U78" s="315"/>
      <c r="V78" s="315"/>
      <c r="W78" s="315"/>
      <c r="X78" s="315"/>
      <c r="Y78" s="315"/>
      <c r="Z78" s="315"/>
      <c r="AA78" s="315"/>
      <c r="AB78" s="315"/>
      <c r="AC78" s="315"/>
      <c r="AD78" s="315"/>
      <c r="AE78" s="315"/>
      <c r="AF78" s="315"/>
      <c r="AG78" s="315"/>
      <c r="AH78" s="315"/>
      <c r="AI78" s="315"/>
      <c r="AJ78" s="315"/>
      <c r="AK78" s="315"/>
      <c r="AL78" s="315"/>
      <c r="AM78" s="315"/>
      <c r="AN78" s="315"/>
    </row>
    <row r="79" spans="2:40" x14ac:dyDescent="0.2">
      <c r="C79" s="2">
        <f>$Y$46/10^3</f>
        <v>18.722791305577122</v>
      </c>
      <c r="D79" s="75">
        <f>$AE$39</f>
        <v>0.31472957854307659</v>
      </c>
      <c r="E79" s="99">
        <f>$Y$21/10^3</f>
        <v>1868.8065977599676</v>
      </c>
    </row>
    <row r="80" spans="2:40" x14ac:dyDescent="0.2">
      <c r="B80" t="s">
        <v>3</v>
      </c>
      <c r="C80" s="2">
        <f t="dataTable" ref="C80:E84" dt2D="0" dtr="0" r1="T1"/>
        <v>-3.2288984167517865</v>
      </c>
      <c r="D80" s="75">
        <v>4.9573328122859639E-2</v>
      </c>
      <c r="E80" s="99">
        <v>0</v>
      </c>
    </row>
    <row r="81" spans="2:5" x14ac:dyDescent="0.2">
      <c r="B81" t="s">
        <v>4</v>
      </c>
      <c r="C81" s="2">
        <v>-2.1515451176778027</v>
      </c>
      <c r="D81" s="75">
        <v>0.14191347426869294</v>
      </c>
      <c r="E81" s="99">
        <v>82.051282051282044</v>
      </c>
    </row>
    <row r="82" spans="2:5" x14ac:dyDescent="0.2">
      <c r="B82" t="s">
        <v>5</v>
      </c>
      <c r="C82" s="2">
        <v>-1.748605586525764E-2</v>
      </c>
      <c r="D82" s="75">
        <v>0.19602000161001487</v>
      </c>
      <c r="E82" s="99">
        <v>245.43752475955864</v>
      </c>
    </row>
    <row r="83" spans="2:5" x14ac:dyDescent="0.2">
      <c r="B83" t="s">
        <v>6</v>
      </c>
      <c r="C83" s="2">
        <v>8.7846599324530317</v>
      </c>
      <c r="D83" s="75">
        <v>0.27736853817902807</v>
      </c>
      <c r="E83" s="99">
        <v>1014.320879711923</v>
      </c>
    </row>
    <row r="84" spans="2:5" x14ac:dyDescent="0.2">
      <c r="B84" t="s">
        <v>7</v>
      </c>
      <c r="C84" s="2">
        <v>18.722791305577122</v>
      </c>
      <c r="D84" s="75">
        <v>0.31472957854307659</v>
      </c>
      <c r="E84" s="99">
        <v>1868.8065977599676</v>
      </c>
    </row>
  </sheetData>
  <mergeCells count="7">
    <mergeCell ref="AJ3:AN3"/>
    <mergeCell ref="B48:AN48"/>
    <mergeCell ref="B78:AN78"/>
    <mergeCell ref="AH18:AI18"/>
    <mergeCell ref="B17:AE17"/>
    <mergeCell ref="B3:AE3"/>
    <mergeCell ref="AA18:AE18"/>
  </mergeCells>
  <conditionalFormatting sqref="D10:E10 J10 O10 T10">
    <cfRule type="expression" dxfId="2" priority="8">
      <formula>D10=$T$1</formula>
    </cfRule>
  </conditionalFormatting>
  <hyperlinks>
    <hyperlink ref="AJ1" location="SelectedCase" display="SelectedCase" xr:uid="{F805267B-6E0C-4F14-B5ED-20B342980C3A}"/>
  </hyperlinks>
  <pageMargins left="0.7" right="0.7" top="0.75" bottom="0.75" header="0.3" footer="0.3"/>
  <pageSetup scale="55"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C8678BE-3C27-46FD-9497-BC7A71CC1AF9}">
          <x14:formula1>
            <xm:f>Cover!$A$5:$E$5</xm:f>
          </x14:formula1>
          <xm:sqref>T1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69438-B183-488E-AEEE-8C4D6016E6F1}">
  <sheetPr codeName="Sheet10">
    <tabColor theme="5" tint="0.79998168889431442"/>
    <pageSetUpPr fitToPage="1"/>
  </sheetPr>
  <dimension ref="B1:AS83"/>
  <sheetViews>
    <sheetView showGridLines="0" zoomScale="140" zoomScaleNormal="140" zoomScaleSheetLayoutView="100" workbookViewId="0">
      <pane ySplit="1" topLeftCell="A2" activePane="bottomLeft" state="frozen"/>
      <selection pane="bottomLeft"/>
    </sheetView>
  </sheetViews>
  <sheetFormatPr baseColWidth="10" defaultColWidth="8.83203125" defaultRowHeight="15" outlineLevelRow="1" outlineLevelCol="1" x14ac:dyDescent="0.2"/>
  <cols>
    <col min="1" max="1" width="0.83203125" customWidth="1"/>
    <col min="2" max="5" width="12.33203125" customWidth="1"/>
    <col min="6" max="9" width="14.5" hidden="1" customWidth="1" outlineLevel="1"/>
    <col min="10" max="10" width="12.33203125" customWidth="1" collapsed="1"/>
    <col min="11" max="14" width="14.5" hidden="1" customWidth="1" outlineLevel="1"/>
    <col min="15" max="15" width="12.33203125" customWidth="1" collapsed="1"/>
    <col min="16" max="19" width="14.5" hidden="1" customWidth="1" outlineLevel="1"/>
    <col min="20" max="20" width="12.33203125" customWidth="1" collapsed="1"/>
    <col min="21" max="24" width="14.5" hidden="1" customWidth="1" outlineLevel="1"/>
    <col min="25" max="25" width="12.33203125" customWidth="1" collapsed="1"/>
    <col min="26" max="26" width="1.6640625" customWidth="1"/>
    <col min="27" max="27" width="0" hidden="1" customWidth="1" outlineLevel="1"/>
    <col min="28" max="30" width="8.83203125" hidden="1" customWidth="1" outlineLevel="1"/>
    <col min="31" max="31" width="11.6640625" customWidth="1" collapsed="1"/>
    <col min="32" max="32" width="1.6640625" customWidth="1"/>
    <col min="33" max="35" width="8.83203125" hidden="1" customWidth="1" outlineLevel="1"/>
    <col min="36" max="36" width="11.83203125" customWidth="1" collapsed="1"/>
    <col min="37" max="42" width="11.83203125" customWidth="1"/>
    <col min="43" max="43" width="12.33203125" bestFit="1" customWidth="1"/>
    <col min="46" max="50" width="10" bestFit="1" customWidth="1"/>
    <col min="51" max="59" width="13.6640625" bestFit="1" customWidth="1"/>
    <col min="60" max="60" width="15" bestFit="1" customWidth="1"/>
    <col min="61" max="61" width="12.83203125" bestFit="1" customWidth="1"/>
  </cols>
  <sheetData>
    <row r="1" spans="2:45" ht="27" x14ac:dyDescent="0.35">
      <c r="B1" s="267" t="s">
        <v>20</v>
      </c>
      <c r="C1" s="267"/>
      <c r="D1" s="294" t="s">
        <v>16</v>
      </c>
      <c r="E1" s="147"/>
      <c r="F1" s="268"/>
      <c r="G1" s="268"/>
      <c r="H1" s="268"/>
      <c r="I1" s="268"/>
      <c r="J1" s="268"/>
      <c r="K1" s="147"/>
      <c r="L1" s="147"/>
      <c r="M1" s="147"/>
      <c r="N1" s="147"/>
      <c r="O1" s="275" t="s">
        <v>85</v>
      </c>
      <c r="P1" s="147"/>
      <c r="Q1" s="147"/>
      <c r="R1" s="147"/>
      <c r="S1" s="147"/>
      <c r="T1" s="197" t="s">
        <v>4</v>
      </c>
      <c r="U1" s="147"/>
      <c r="V1" s="147"/>
      <c r="W1" s="147"/>
      <c r="X1" s="147"/>
      <c r="Y1" s="147"/>
      <c r="Z1" s="147"/>
      <c r="AA1" s="147"/>
      <c r="AB1" s="147"/>
      <c r="AC1" s="147"/>
      <c r="AD1" s="147"/>
      <c r="AE1" s="277" t="s">
        <v>86</v>
      </c>
      <c r="AF1" s="270"/>
      <c r="AG1" s="147"/>
      <c r="AH1" s="147"/>
      <c r="AI1" s="147"/>
      <c r="AJ1" s="276" t="str">
        <f>SelectedCase</f>
        <v>Base</v>
      </c>
      <c r="AK1" s="147"/>
      <c r="AL1" s="147"/>
      <c r="AM1" s="147"/>
      <c r="AN1" s="147"/>
    </row>
    <row r="2" spans="2:45" ht="4" customHeight="1" x14ac:dyDescent="0.2"/>
    <row r="3" spans="2:45" ht="16" x14ac:dyDescent="0.2">
      <c r="B3" s="315" t="s">
        <v>21</v>
      </c>
      <c r="C3" s="315"/>
      <c r="D3" s="315"/>
      <c r="E3" s="315"/>
      <c r="F3" s="315"/>
      <c r="G3" s="315"/>
      <c r="H3" s="315"/>
      <c r="I3" s="315"/>
      <c r="J3" s="315"/>
      <c r="K3" s="315"/>
      <c r="L3" s="315"/>
      <c r="M3" s="315"/>
      <c r="N3" s="315"/>
      <c r="O3" s="315"/>
      <c r="P3" s="315"/>
      <c r="Q3" s="315"/>
      <c r="R3" s="315"/>
      <c r="S3" s="315"/>
      <c r="T3" s="315"/>
      <c r="U3" s="315"/>
      <c r="V3" s="315"/>
      <c r="W3" s="315"/>
      <c r="X3" s="315"/>
      <c r="Y3" s="315"/>
      <c r="Z3" s="315"/>
      <c r="AA3" s="315"/>
      <c r="AB3" s="315"/>
      <c r="AC3" s="315"/>
      <c r="AD3" s="315"/>
      <c r="AE3" s="315"/>
      <c r="AJ3" s="315" t="s">
        <v>87</v>
      </c>
      <c r="AK3" s="315"/>
      <c r="AL3" s="315"/>
      <c r="AM3" s="315"/>
      <c r="AN3" s="315"/>
    </row>
    <row r="4" spans="2:45" ht="16" x14ac:dyDescent="0.2">
      <c r="B4" t="s">
        <v>88</v>
      </c>
      <c r="D4" s="184">
        <v>0</v>
      </c>
      <c r="J4" s="183" t="s">
        <v>89</v>
      </c>
      <c r="Y4" s="183" t="s">
        <v>201</v>
      </c>
      <c r="AJ4" s="185" t="s">
        <v>35</v>
      </c>
      <c r="AK4" s="195" t="s">
        <v>91</v>
      </c>
      <c r="AL4" s="195" t="s">
        <v>92</v>
      </c>
      <c r="AM4" s="195" t="s">
        <v>93</v>
      </c>
      <c r="AN4" s="195" t="s">
        <v>94</v>
      </c>
    </row>
    <row r="5" spans="2:45" x14ac:dyDescent="0.2">
      <c r="B5" t="s">
        <v>202</v>
      </c>
      <c r="D5" s="173">
        <v>300</v>
      </c>
      <c r="J5" s="48" t="s">
        <v>42</v>
      </c>
      <c r="O5" s="104">
        <v>0.05</v>
      </c>
      <c r="Y5" t="s">
        <v>203</v>
      </c>
      <c r="AE5" s="104">
        <v>0.03</v>
      </c>
      <c r="AJ5" s="11">
        <v>2024</v>
      </c>
      <c r="AK5" s="238">
        <f>HLOOKUP($AJ5,$D$19:$Y$46,20)/10^3</f>
        <v>0.4995</v>
      </c>
      <c r="AL5" s="238">
        <f>HLOOKUP($AJ5,$D$19:$Y$46,24)/10^3</f>
        <v>-0.15</v>
      </c>
      <c r="AM5" s="238">
        <f>HLOOKUP($AJ5,$D$19:$Y$46,27)/10^3</f>
        <v>0.34949999999999998</v>
      </c>
      <c r="AN5" s="284">
        <f>HLOOKUP($AJ5,$D$19:$Y$46,3)/10^6</f>
        <v>0</v>
      </c>
      <c r="AP5" s="65"/>
      <c r="AS5" s="75"/>
    </row>
    <row r="6" spans="2:45" x14ac:dyDescent="0.2">
      <c r="B6" t="s">
        <v>204</v>
      </c>
      <c r="D6" s="173">
        <v>-243</v>
      </c>
      <c r="J6" s="48" t="s">
        <v>46</v>
      </c>
      <c r="O6" s="104">
        <v>0.8</v>
      </c>
      <c r="Y6" t="s">
        <v>205</v>
      </c>
      <c r="AE6" s="104">
        <v>0.03</v>
      </c>
      <c r="AJ6" s="188">
        <f t="shared" ref="AJ6:AJ9" si="0">AJ5+1</f>
        <v>2025</v>
      </c>
      <c r="AK6" s="239">
        <f t="shared" ref="AK6:AK33" si="1">HLOOKUP($AJ6,$D$19:$Y$46,20)/10^3</f>
        <v>0.58819535825832592</v>
      </c>
      <c r="AL6" s="239">
        <f t="shared" ref="AL6:AL33" si="2">HLOOKUP($AJ6,$D$19:$Y$46,24)/10^3</f>
        <v>-0.15</v>
      </c>
      <c r="AM6" s="239">
        <f t="shared" ref="AM6:AM33" si="3">HLOOKUP($AJ6,$D$19:$Y$46,27)/10^3</f>
        <v>0.4381953582583259</v>
      </c>
      <c r="AN6" s="285">
        <f t="shared" ref="AN6:AN33" si="4">HLOOKUP($AJ6,$D$19:$Y$46,3)/10^6</f>
        <v>0.56483076923076925</v>
      </c>
      <c r="AP6" s="65"/>
    </row>
    <row r="7" spans="2:45" x14ac:dyDescent="0.2">
      <c r="B7" t="s">
        <v>206</v>
      </c>
      <c r="D7" s="173">
        <v>-150</v>
      </c>
      <c r="J7" s="48" t="s">
        <v>51</v>
      </c>
      <c r="O7" s="226">
        <v>0.14999999999999991</v>
      </c>
      <c r="AJ7" s="11">
        <f t="shared" si="0"/>
        <v>2026</v>
      </c>
      <c r="AK7" s="238">
        <f t="shared" si="1"/>
        <v>0.71186287119881464</v>
      </c>
      <c r="AL7" s="238">
        <f t="shared" si="2"/>
        <v>-0.15</v>
      </c>
      <c r="AM7" s="238">
        <f t="shared" si="3"/>
        <v>0.56186287119881473</v>
      </c>
      <c r="AN7" s="284">
        <f t="shared" si="4"/>
        <v>0.60166435462842238</v>
      </c>
      <c r="AP7" s="65"/>
    </row>
    <row r="8" spans="2:45" x14ac:dyDescent="0.2">
      <c r="B8" t="s">
        <v>207</v>
      </c>
      <c r="D8" s="104">
        <v>0.05</v>
      </c>
      <c r="J8" s="21" t="s">
        <v>58</v>
      </c>
      <c r="K8" s="21"/>
      <c r="L8" s="21"/>
      <c r="M8" s="21"/>
      <c r="N8" s="21"/>
      <c r="O8" s="231">
        <f>SUM(O5:O7)</f>
        <v>1</v>
      </c>
      <c r="AJ8" s="11">
        <f t="shared" si="0"/>
        <v>2027</v>
      </c>
      <c r="AK8" s="238">
        <f t="shared" si="1"/>
        <v>0.85791451794090023</v>
      </c>
      <c r="AL8" s="238">
        <f t="shared" si="2"/>
        <v>-0.15</v>
      </c>
      <c r="AM8" s="238">
        <f t="shared" si="3"/>
        <v>0.70791451794090032</v>
      </c>
      <c r="AN8" s="284">
        <f t="shared" si="4"/>
        <v>0.62793680061142831</v>
      </c>
      <c r="AP8" s="65"/>
    </row>
    <row r="9" spans="2:45" x14ac:dyDescent="0.2">
      <c r="B9" t="s">
        <v>228</v>
      </c>
      <c r="D9" s="173">
        <v>450</v>
      </c>
      <c r="O9" s="42"/>
      <c r="AJ9" s="11">
        <f t="shared" si="0"/>
        <v>2028</v>
      </c>
      <c r="AK9" s="238">
        <f t="shared" si="1"/>
        <v>1.0311474725773733</v>
      </c>
      <c r="AL9" s="238">
        <f t="shared" si="2"/>
        <v>-0.15</v>
      </c>
      <c r="AM9" s="238">
        <f t="shared" si="3"/>
        <v>0.88114747257737325</v>
      </c>
      <c r="AN9" s="284">
        <f t="shared" si="4"/>
        <v>0.64700242761270843</v>
      </c>
      <c r="AP9" s="65"/>
    </row>
    <row r="10" spans="2:45" x14ac:dyDescent="0.2">
      <c r="D10" s="35" t="s">
        <v>3</v>
      </c>
      <c r="E10" s="35" t="s">
        <v>4</v>
      </c>
      <c r="J10" s="35" t="s">
        <v>5</v>
      </c>
      <c r="O10" s="35" t="s">
        <v>6</v>
      </c>
      <c r="T10" s="35" t="s">
        <v>7</v>
      </c>
      <c r="V10" t="str">
        <f>T1</f>
        <v>BTC 10%</v>
      </c>
      <c r="AJ10" s="11">
        <f>AJ9+1</f>
        <v>2029</v>
      </c>
      <c r="AK10" s="238">
        <f t="shared" si="1"/>
        <v>1.2370389814028573</v>
      </c>
      <c r="AL10" s="238">
        <f t="shared" si="2"/>
        <v>-0.15</v>
      </c>
      <c r="AM10" s="238">
        <f t="shared" si="3"/>
        <v>1.0870389814028572</v>
      </c>
      <c r="AN10" s="284">
        <f t="shared" si="4"/>
        <v>0.66108336653273692</v>
      </c>
      <c r="AP10" s="65"/>
    </row>
    <row r="11" spans="2:45" x14ac:dyDescent="0.2">
      <c r="B11" t="s">
        <v>132</v>
      </c>
      <c r="D11" s="104">
        <v>0</v>
      </c>
      <c r="E11" s="104">
        <v>0.1</v>
      </c>
      <c r="J11" s="104">
        <v>0.25</v>
      </c>
      <c r="O11" s="104">
        <v>0.5</v>
      </c>
      <c r="T11" s="104">
        <v>0.75</v>
      </c>
      <c r="V11" s="19">
        <f>INDEX($B$10:$T$15,MATCH(B11,$B$10:$B$15,0),MATCH($V$10,$B$10:$T$10,0))</f>
        <v>0.1</v>
      </c>
      <c r="AJ11" s="188">
        <f>AJ10+1</f>
        <v>2030</v>
      </c>
      <c r="AK11" s="239">
        <f t="shared" si="1"/>
        <v>1.4815856105737295</v>
      </c>
      <c r="AL11" s="239">
        <f t="shared" si="2"/>
        <v>-0.15</v>
      </c>
      <c r="AM11" s="239">
        <f t="shared" si="3"/>
        <v>1.3315856105737296</v>
      </c>
      <c r="AN11" s="285">
        <f t="shared" si="4"/>
        <v>0.67167060424671232</v>
      </c>
      <c r="AP11" s="65"/>
    </row>
    <row r="12" spans="2:45" x14ac:dyDescent="0.2">
      <c r="B12" t="s">
        <v>209</v>
      </c>
      <c r="D12" s="232">
        <v>0</v>
      </c>
      <c r="E12" s="232">
        <v>1</v>
      </c>
      <c r="J12" s="232">
        <v>2</v>
      </c>
      <c r="O12" s="232">
        <v>4</v>
      </c>
      <c r="T12" s="232">
        <v>4</v>
      </c>
      <c r="V12" s="81">
        <f>INDEX($B$10:$T$15,MATCH(B12,$B$10:$B$15,0),MATCH($V$10,$B$10:$T$10,0))</f>
        <v>1</v>
      </c>
      <c r="AJ12" s="11">
        <f>AJ11+1</f>
        <v>2031</v>
      </c>
      <c r="AK12" s="238">
        <f t="shared" si="1"/>
        <v>1.7710089381616876</v>
      </c>
      <c r="AL12" s="238">
        <f t="shared" si="2"/>
        <v>-0.15</v>
      </c>
      <c r="AM12" s="238">
        <f t="shared" si="3"/>
        <v>1.6210089381616877</v>
      </c>
      <c r="AN12" s="284">
        <f t="shared" si="4"/>
        <v>0.67977741107849921</v>
      </c>
      <c r="AP12" s="65"/>
    </row>
    <row r="13" spans="2:45" hidden="1" outlineLevel="1" x14ac:dyDescent="0.2">
      <c r="B13" t="s">
        <v>210</v>
      </c>
      <c r="D13" s="83"/>
      <c r="E13" s="42"/>
      <c r="J13" s="42"/>
      <c r="O13" s="42"/>
      <c r="T13" s="42"/>
      <c r="V13" s="42">
        <f>V11/V12</f>
        <v>0.1</v>
      </c>
      <c r="AK13" t="e">
        <f t="shared" si="1"/>
        <v>#N/A</v>
      </c>
      <c r="AL13" t="e">
        <f t="shared" si="2"/>
        <v>#N/A</v>
      </c>
      <c r="AM13" t="e">
        <f t="shared" si="3"/>
        <v>#N/A</v>
      </c>
      <c r="AN13" s="286" t="e">
        <f t="shared" si="4"/>
        <v>#N/A</v>
      </c>
      <c r="AP13" s="65"/>
    </row>
    <row r="14" spans="2:45" collapsed="1" x14ac:dyDescent="0.2">
      <c r="B14" t="s">
        <v>229</v>
      </c>
      <c r="D14" s="104">
        <v>0</v>
      </c>
      <c r="E14" s="104">
        <v>0.1</v>
      </c>
      <c r="J14" s="104">
        <v>0.25</v>
      </c>
      <c r="O14" s="104">
        <v>0.5</v>
      </c>
      <c r="T14" s="104">
        <v>0.75</v>
      </c>
      <c r="V14" s="19">
        <f>INDEX($B$10:$T$15,MATCH(B14,$B$10:$B$15,0),MATCH($V$10,$B$10:$T$10,0))</f>
        <v>0.1</v>
      </c>
      <c r="AJ14" s="11">
        <f>AJ12+1</f>
        <v>2032</v>
      </c>
      <c r="AK14" s="238">
        <f t="shared" si="1"/>
        <v>2.1113092565662139</v>
      </c>
      <c r="AL14" s="238">
        <f t="shared" si="2"/>
        <v>-0.15</v>
      </c>
      <c r="AM14" s="238">
        <f t="shared" si="3"/>
        <v>1.961309256566214</v>
      </c>
      <c r="AN14" s="284">
        <f t="shared" si="4"/>
        <v>0.68610129606920078</v>
      </c>
      <c r="AP14" s="65"/>
    </row>
    <row r="15" spans="2:45" hidden="1" outlineLevel="1" x14ac:dyDescent="0.2">
      <c r="B15" t="s">
        <v>212</v>
      </c>
      <c r="D15" s="104">
        <v>0</v>
      </c>
      <c r="E15" s="104">
        <v>0</v>
      </c>
      <c r="J15" s="104">
        <v>0</v>
      </c>
      <c r="O15" s="104">
        <v>0</v>
      </c>
      <c r="T15" s="104">
        <v>0</v>
      </c>
      <c r="V15" s="19">
        <f>INDEX($B$10:$T$15,MATCH(B15,$B$10:$B$15,0),MATCH($V$10,$B$10:$T$10,0))</f>
        <v>0</v>
      </c>
      <c r="AK15" t="e">
        <f t="shared" si="1"/>
        <v>#N/A</v>
      </c>
      <c r="AL15" t="e">
        <f t="shared" si="2"/>
        <v>#N/A</v>
      </c>
      <c r="AM15" t="e">
        <f t="shared" si="3"/>
        <v>#N/A</v>
      </c>
      <c r="AN15" s="284" t="e">
        <f t="shared" si="4"/>
        <v>#N/A</v>
      </c>
      <c r="AP15" s="65"/>
    </row>
    <row r="16" spans="2:45" collapsed="1" x14ac:dyDescent="0.2">
      <c r="AJ16" s="11">
        <f>AJ14+1</f>
        <v>2033</v>
      </c>
      <c r="AK16" s="238">
        <f t="shared" si="1"/>
        <v>2.5076667846410534</v>
      </c>
      <c r="AL16" s="238">
        <f t="shared" si="2"/>
        <v>-0.15</v>
      </c>
      <c r="AM16" s="238">
        <f t="shared" si="3"/>
        <v>2.3576667846410531</v>
      </c>
      <c r="AN16" s="284">
        <f t="shared" si="4"/>
        <v>0.69112867407616674</v>
      </c>
      <c r="AP16" s="65"/>
    </row>
    <row r="17" spans="2:43" ht="16" x14ac:dyDescent="0.2">
      <c r="B17" s="315" t="s">
        <v>55</v>
      </c>
      <c r="C17" s="315"/>
      <c r="D17" s="315"/>
      <c r="E17" s="315"/>
      <c r="F17" s="315"/>
      <c r="G17" s="315"/>
      <c r="H17" s="315"/>
      <c r="I17" s="315"/>
      <c r="J17" s="315"/>
      <c r="K17" s="315"/>
      <c r="L17" s="315"/>
      <c r="M17" s="315"/>
      <c r="N17" s="315"/>
      <c r="O17" s="315"/>
      <c r="P17" s="315"/>
      <c r="Q17" s="315"/>
      <c r="R17" s="315"/>
      <c r="S17" s="315"/>
      <c r="T17" s="315"/>
      <c r="U17" s="315"/>
      <c r="V17" s="315"/>
      <c r="W17" s="315"/>
      <c r="X17" s="315"/>
      <c r="Y17" s="315"/>
      <c r="Z17" s="315"/>
      <c r="AA17" s="315"/>
      <c r="AB17" s="315"/>
      <c r="AC17" s="315"/>
      <c r="AD17" s="315"/>
      <c r="AE17" s="315"/>
      <c r="AJ17" s="11">
        <f t="shared" ref="AJ17:AJ27" si="5">AJ16+1</f>
        <v>2034</v>
      </c>
      <c r="AK17" s="238">
        <f t="shared" si="1"/>
        <v>2.9637164502179179</v>
      </c>
      <c r="AL17" s="238">
        <f t="shared" si="2"/>
        <v>-0.15</v>
      </c>
      <c r="AM17" s="238">
        <f t="shared" si="3"/>
        <v>2.8137164502179179</v>
      </c>
      <c r="AN17" s="284">
        <f t="shared" si="4"/>
        <v>0.69520327378655011</v>
      </c>
      <c r="AP17" s="65"/>
    </row>
    <row r="18" spans="2:43" x14ac:dyDescent="0.2">
      <c r="B18" s="211"/>
      <c r="C18" s="211"/>
      <c r="D18" s="144" t="s">
        <v>35</v>
      </c>
      <c r="E18" s="144"/>
      <c r="F18" s="144"/>
      <c r="G18" s="144"/>
      <c r="H18" s="144"/>
      <c r="I18" s="144"/>
      <c r="J18" s="144"/>
      <c r="K18" s="144"/>
      <c r="L18" s="144"/>
      <c r="M18" s="144"/>
      <c r="N18" s="144"/>
      <c r="O18" s="144"/>
      <c r="P18" s="144"/>
      <c r="Q18" s="144"/>
      <c r="R18" s="144"/>
      <c r="S18" s="144"/>
      <c r="T18" s="144"/>
      <c r="U18" s="144"/>
      <c r="V18" s="144"/>
      <c r="W18" s="144"/>
      <c r="X18" s="144"/>
      <c r="Y18" s="144"/>
      <c r="AA18" s="316" t="s">
        <v>56</v>
      </c>
      <c r="AB18" s="316"/>
      <c r="AC18" s="316"/>
      <c r="AD18" s="316"/>
      <c r="AE18" s="316"/>
      <c r="AG18" s="320" t="s">
        <v>105</v>
      </c>
      <c r="AH18" s="320"/>
      <c r="AJ18" s="188">
        <f t="shared" si="5"/>
        <v>2035</v>
      </c>
      <c r="AK18" s="237">
        <f t="shared" si="1"/>
        <v>3.4807556159068267</v>
      </c>
      <c r="AL18" s="237">
        <f t="shared" si="2"/>
        <v>-0.15</v>
      </c>
      <c r="AM18" s="237">
        <f t="shared" si="3"/>
        <v>3.3307556159068268</v>
      </c>
      <c r="AN18" s="285">
        <f t="shared" si="4"/>
        <v>0.69857135745916199</v>
      </c>
      <c r="AP18" s="65"/>
    </row>
    <row r="19" spans="2:43" x14ac:dyDescent="0.2">
      <c r="B19" s="175" t="s">
        <v>213</v>
      </c>
      <c r="C19" s="211"/>
      <c r="D19" s="128">
        <f>Macro!C17</f>
        <v>2024</v>
      </c>
      <c r="E19" s="128">
        <f>Macro!D17</f>
        <v>2025</v>
      </c>
      <c r="F19" s="128">
        <f>Macro!E17</f>
        <v>2026</v>
      </c>
      <c r="G19" s="128">
        <f>Macro!F17</f>
        <v>2027</v>
      </c>
      <c r="H19" s="128">
        <f>Macro!G17</f>
        <v>2028</v>
      </c>
      <c r="I19" s="128">
        <f>Macro!H17</f>
        <v>2029</v>
      </c>
      <c r="J19" s="128">
        <f>Macro!I17</f>
        <v>2030</v>
      </c>
      <c r="K19" s="128">
        <f>Macro!J17</f>
        <v>2031</v>
      </c>
      <c r="L19" s="128">
        <f>Macro!K17</f>
        <v>2032</v>
      </c>
      <c r="M19" s="128">
        <f>Macro!L17</f>
        <v>2033</v>
      </c>
      <c r="N19" s="128">
        <f>Macro!M17</f>
        <v>2034</v>
      </c>
      <c r="O19" s="128">
        <f>Macro!N17</f>
        <v>2035</v>
      </c>
      <c r="P19" s="128">
        <f>Macro!O17</f>
        <v>2036</v>
      </c>
      <c r="Q19" s="128">
        <f>Macro!P17</f>
        <v>2037</v>
      </c>
      <c r="R19" s="128">
        <f>Macro!Q17</f>
        <v>2038</v>
      </c>
      <c r="S19" s="128">
        <f>Macro!R17</f>
        <v>2039</v>
      </c>
      <c r="T19" s="128">
        <f>Macro!S17</f>
        <v>2040</v>
      </c>
      <c r="U19" s="128">
        <f>Macro!T17</f>
        <v>2041</v>
      </c>
      <c r="V19" s="128">
        <f>Macro!U17</f>
        <v>2042</v>
      </c>
      <c r="W19" s="128">
        <f>Macro!V17</f>
        <v>2043</v>
      </c>
      <c r="X19" s="128">
        <f>Macro!W17</f>
        <v>2044</v>
      </c>
      <c r="Y19" s="128">
        <f>Macro!X17</f>
        <v>2045</v>
      </c>
      <c r="Z19" s="11"/>
      <c r="AA19" s="128" t="s">
        <v>59</v>
      </c>
      <c r="AB19" s="128" t="s">
        <v>60</v>
      </c>
      <c r="AC19" s="128" t="s">
        <v>61</v>
      </c>
      <c r="AD19" s="128" t="s">
        <v>62</v>
      </c>
      <c r="AE19" s="128" t="s">
        <v>63</v>
      </c>
      <c r="AF19" s="10"/>
      <c r="AG19" s="10">
        <f>D19</f>
        <v>2024</v>
      </c>
      <c r="AH19" s="10">
        <f>Y19</f>
        <v>2045</v>
      </c>
      <c r="AJ19" s="11">
        <f t="shared" si="5"/>
        <v>2036</v>
      </c>
      <c r="AK19" s="236">
        <f t="shared" si="1"/>
        <v>4.0569797278167208</v>
      </c>
      <c r="AL19" s="236">
        <f t="shared" si="2"/>
        <v>-0.15</v>
      </c>
      <c r="AM19" s="236">
        <f t="shared" si="3"/>
        <v>3.9069797278167209</v>
      </c>
      <c r="AN19" s="284">
        <f t="shared" si="4"/>
        <v>0.70141196129103633</v>
      </c>
      <c r="AP19" s="65"/>
    </row>
    <row r="20" spans="2:43" x14ac:dyDescent="0.2">
      <c r="B20" t="s">
        <v>108</v>
      </c>
      <c r="D20" s="37"/>
      <c r="E20" s="37">
        <f t="shared" ref="E20:Y20" si="6">(SUM(D35:D37)*E31+MAX(E27,0)*$V$14+E29)/E22*10^6</f>
        <v>564830.76923076925</v>
      </c>
      <c r="F20" s="37">
        <f t="shared" si="6"/>
        <v>36833.585397653151</v>
      </c>
      <c r="G20" s="37">
        <f t="shared" si="6"/>
        <v>26272.445983005866</v>
      </c>
      <c r="H20" s="37">
        <f t="shared" si="6"/>
        <v>19065.627001280092</v>
      </c>
      <c r="I20" s="37">
        <f t="shared" si="6"/>
        <v>14080.938920028548</v>
      </c>
      <c r="J20" s="37">
        <f t="shared" si="6"/>
        <v>10587.237713975401</v>
      </c>
      <c r="K20" s="37">
        <f t="shared" si="6"/>
        <v>8106.8068317868956</v>
      </c>
      <c r="L20" s="37">
        <f t="shared" si="6"/>
        <v>6323.8849907015128</v>
      </c>
      <c r="M20" s="37">
        <f t="shared" si="6"/>
        <v>5027.378006965977</v>
      </c>
      <c r="N20" s="37">
        <f t="shared" si="6"/>
        <v>4074.5997103835002</v>
      </c>
      <c r="O20" s="37">
        <f t="shared" si="6"/>
        <v>3368.0836726118505</v>
      </c>
      <c r="P20" s="37">
        <f t="shared" si="6"/>
        <v>2840.6038318743299</v>
      </c>
      <c r="Q20" s="37">
        <f t="shared" si="6"/>
        <v>2445.4050313763837</v>
      </c>
      <c r="R20" s="37">
        <f t="shared" si="6"/>
        <v>2104.9893816682702</v>
      </c>
      <c r="S20" s="37">
        <f t="shared" si="6"/>
        <v>1811.7964940459933</v>
      </c>
      <c r="T20" s="37">
        <f t="shared" si="6"/>
        <v>1559.303608595641</v>
      </c>
      <c r="U20" s="37">
        <f t="shared" si="6"/>
        <v>1341.8841678275055</v>
      </c>
      <c r="V20" s="37">
        <f t="shared" si="6"/>
        <v>1154.6854972043702</v>
      </c>
      <c r="W20" s="37">
        <f t="shared" si="6"/>
        <v>993.52304050521843</v>
      </c>
      <c r="X20" s="37">
        <f t="shared" si="6"/>
        <v>854.7889337154246</v>
      </c>
      <c r="Y20" s="37">
        <f t="shared" si="6"/>
        <v>735.37299361833277</v>
      </c>
      <c r="AA20" s="12" t="str">
        <f t="shared" ref="AA20:AA22" si="7">IFERROR((E20/D20)-1,"")</f>
        <v/>
      </c>
      <c r="AB20" s="12" t="str">
        <f t="shared" ref="AB20:AB22" si="8">IFERROR((J20/D20)^(1/6)-1,"")</f>
        <v/>
      </c>
      <c r="AC20" s="12" t="str">
        <f t="shared" ref="AC20:AC22" si="9">IFERROR((O20/D20)^(1/11)-1,"")</f>
        <v/>
      </c>
      <c r="AD20" s="12" t="str">
        <f t="shared" ref="AD20:AD22" si="10">IFERROR((T20/D20)^(1/16)-1,"")</f>
        <v/>
      </c>
      <c r="AE20" s="12"/>
      <c r="AJ20" s="11">
        <f t="shared" si="5"/>
        <v>2037</v>
      </c>
      <c r="AK20" s="236">
        <f t="shared" si="1"/>
        <v>4.68687173300059</v>
      </c>
      <c r="AL20" s="236">
        <f t="shared" si="2"/>
        <v>-0.15</v>
      </c>
      <c r="AM20" s="236">
        <f t="shared" si="3"/>
        <v>4.5368717330005905</v>
      </c>
      <c r="AN20" s="284">
        <f t="shared" si="4"/>
        <v>0.70385736632241269</v>
      </c>
      <c r="AP20" s="65"/>
    </row>
    <row r="21" spans="2:43" x14ac:dyDescent="0.2">
      <c r="B21" s="52" t="s">
        <v>109</v>
      </c>
      <c r="C21" s="52"/>
      <c r="D21" s="234">
        <f>D4</f>
        <v>0</v>
      </c>
      <c r="E21" s="228">
        <f t="shared" ref="E21:Y21" si="11">D21+E20</f>
        <v>564830.76923076925</v>
      </c>
      <c r="F21" s="228">
        <f t="shared" si="11"/>
        <v>601664.35462842241</v>
      </c>
      <c r="G21" s="228">
        <f t="shared" si="11"/>
        <v>627936.80061142833</v>
      </c>
      <c r="H21" s="228">
        <f t="shared" si="11"/>
        <v>647002.42761270842</v>
      </c>
      <c r="I21" s="228">
        <f t="shared" si="11"/>
        <v>661083.36653273692</v>
      </c>
      <c r="J21" s="228">
        <f t="shared" si="11"/>
        <v>671670.60424671229</v>
      </c>
      <c r="K21" s="228">
        <f t="shared" si="11"/>
        <v>679777.41107849916</v>
      </c>
      <c r="L21" s="228">
        <f t="shared" si="11"/>
        <v>686101.29606920073</v>
      </c>
      <c r="M21" s="228">
        <f t="shared" si="11"/>
        <v>691128.6740761667</v>
      </c>
      <c r="N21" s="228">
        <f t="shared" si="11"/>
        <v>695203.27378655015</v>
      </c>
      <c r="O21" s="228">
        <f t="shared" si="11"/>
        <v>698571.35745916201</v>
      </c>
      <c r="P21" s="228">
        <f t="shared" si="11"/>
        <v>701411.96129103634</v>
      </c>
      <c r="Q21" s="228">
        <f t="shared" si="11"/>
        <v>703857.36632241274</v>
      </c>
      <c r="R21" s="228">
        <f t="shared" si="11"/>
        <v>705962.35570408101</v>
      </c>
      <c r="S21" s="228">
        <f t="shared" si="11"/>
        <v>707774.15219812701</v>
      </c>
      <c r="T21" s="228">
        <f t="shared" si="11"/>
        <v>709333.45580672263</v>
      </c>
      <c r="U21" s="228">
        <f t="shared" si="11"/>
        <v>710675.33997455018</v>
      </c>
      <c r="V21" s="228">
        <f t="shared" si="11"/>
        <v>711830.0254717546</v>
      </c>
      <c r="W21" s="228">
        <f t="shared" si="11"/>
        <v>712823.54851225985</v>
      </c>
      <c r="X21" s="228">
        <f t="shared" si="11"/>
        <v>713678.33744597528</v>
      </c>
      <c r="Y21" s="228">
        <f t="shared" si="11"/>
        <v>714413.71043959365</v>
      </c>
      <c r="AA21" s="12" t="str">
        <f t="shared" si="7"/>
        <v/>
      </c>
      <c r="AB21" s="12" t="str">
        <f t="shared" si="8"/>
        <v/>
      </c>
      <c r="AC21" s="12" t="str">
        <f t="shared" si="9"/>
        <v/>
      </c>
      <c r="AD21" s="12" t="str">
        <f t="shared" si="10"/>
        <v/>
      </c>
      <c r="AE21" s="178" t="str">
        <f t="shared" ref="AE21:AE22" si="12">IFERROR((Y21/D21)^(1/21)-1,"")</f>
        <v/>
      </c>
      <c r="AJ21" s="11">
        <f t="shared" si="5"/>
        <v>2038</v>
      </c>
      <c r="AK21" s="236">
        <f t="shared" si="1"/>
        <v>5.4157243553512853</v>
      </c>
      <c r="AL21" s="236">
        <f t="shared" si="2"/>
        <v>-0.15</v>
      </c>
      <c r="AM21" s="236">
        <f t="shared" si="3"/>
        <v>5.2657243553512849</v>
      </c>
      <c r="AN21" s="284">
        <f t="shared" si="4"/>
        <v>0.70596235570408106</v>
      </c>
      <c r="AP21" s="65"/>
    </row>
    <row r="22" spans="2:43" x14ac:dyDescent="0.2">
      <c r="B22" t="s">
        <v>65</v>
      </c>
      <c r="D22" s="2">
        <f>Macro!C20</f>
        <v>65</v>
      </c>
      <c r="E22" s="2">
        <f>Macro!D20</f>
        <v>97.5</v>
      </c>
      <c r="F22" s="2">
        <f>Macro!E20</f>
        <v>143.8125</v>
      </c>
      <c r="G22" s="2">
        <f>Macro!F20</f>
        <v>208.52812499999999</v>
      </c>
      <c r="H22" s="2">
        <f>Macro!G20</f>
        <v>297.15257812499993</v>
      </c>
      <c r="I22" s="2">
        <f>Macro!H20</f>
        <v>416.01360937499987</v>
      </c>
      <c r="J22" s="2">
        <f>Macro!I20</f>
        <v>572.01871289062478</v>
      </c>
      <c r="K22" s="2">
        <f>Macro!J20</f>
        <v>772.22526240234333</v>
      </c>
      <c r="L22" s="2">
        <f>Macro!K20</f>
        <v>1023.1984726831047</v>
      </c>
      <c r="M22" s="2">
        <f>Macro!L20</f>
        <v>1330.1580144880359</v>
      </c>
      <c r="N22" s="2">
        <f>Macro!M20</f>
        <v>1695.9514684722456</v>
      </c>
      <c r="O22" s="2">
        <f>Macro!N20</f>
        <v>2119.9393355903067</v>
      </c>
      <c r="P22" s="2">
        <f>Macro!O20</f>
        <v>2596.9256860981254</v>
      </c>
      <c r="Q22" s="2">
        <f>Macro!P20</f>
        <v>3116.3108233177504</v>
      </c>
      <c r="R22" s="2">
        <f>Macro!Q20</f>
        <v>3739.5729879813002</v>
      </c>
      <c r="S22" s="2">
        <f>Macro!R20</f>
        <v>4487.4875855775599</v>
      </c>
      <c r="T22" s="2">
        <f>Macro!S20</f>
        <v>5384.9851026930719</v>
      </c>
      <c r="U22" s="2">
        <f>Macro!T20</f>
        <v>6461.9821232316863</v>
      </c>
      <c r="V22" s="2">
        <f>Macro!U20</f>
        <v>7754.3785478780228</v>
      </c>
      <c r="W22" s="2">
        <f>Macro!V20</f>
        <v>9305.2542574536274</v>
      </c>
      <c r="X22" s="2">
        <f>Macro!W20</f>
        <v>11166.305108944352</v>
      </c>
      <c r="Y22" s="2">
        <f>Macro!X20</f>
        <v>13399.566130733223</v>
      </c>
      <c r="AA22" s="12">
        <f t="shared" si="7"/>
        <v>0.5</v>
      </c>
      <c r="AB22" s="12">
        <f t="shared" si="8"/>
        <v>0.43686559725988783</v>
      </c>
      <c r="AC22" s="12">
        <f t="shared" si="9"/>
        <v>0.37272244333469207</v>
      </c>
      <c r="AD22" s="12">
        <f t="shared" si="10"/>
        <v>0.31792879499327231</v>
      </c>
      <c r="AE22" s="12">
        <f t="shared" si="12"/>
        <v>0.28883975252734717</v>
      </c>
      <c r="AJ22" s="11">
        <f t="shared" si="5"/>
        <v>2039</v>
      </c>
      <c r="AK22" s="236">
        <f t="shared" si="1"/>
        <v>6.2606426183657939</v>
      </c>
      <c r="AL22" s="236">
        <f t="shared" si="2"/>
        <v>-0.15</v>
      </c>
      <c r="AM22" s="236">
        <f t="shared" si="3"/>
        <v>6.1106426183657945</v>
      </c>
      <c r="AN22" s="284">
        <f t="shared" si="4"/>
        <v>0.707774152198127</v>
      </c>
      <c r="AP22" s="65"/>
    </row>
    <row r="23" spans="2:43" x14ac:dyDescent="0.2">
      <c r="B23" s="213" t="s">
        <v>214</v>
      </c>
      <c r="C23" s="213"/>
      <c r="D23" s="214"/>
      <c r="E23" s="214"/>
      <c r="F23" s="214"/>
      <c r="G23" s="214"/>
      <c r="H23" s="214"/>
      <c r="I23" s="214"/>
      <c r="J23" s="214"/>
      <c r="K23" s="214"/>
      <c r="L23" s="214"/>
      <c r="M23" s="214"/>
      <c r="N23" s="214"/>
      <c r="O23" s="214"/>
      <c r="P23" s="214"/>
      <c r="Q23" s="214"/>
      <c r="R23" s="214"/>
      <c r="S23" s="214"/>
      <c r="T23" s="214"/>
      <c r="U23" s="214"/>
      <c r="V23" s="214"/>
      <c r="W23" s="214"/>
      <c r="X23" s="214"/>
      <c r="Y23" s="214"/>
      <c r="AE23" s="214"/>
      <c r="AF23" s="10"/>
      <c r="AG23" s="10"/>
      <c r="AH23" s="10"/>
      <c r="AJ23" s="188">
        <f t="shared" si="5"/>
        <v>2040</v>
      </c>
      <c r="AK23" s="237">
        <f t="shared" si="1"/>
        <v>7.2419098449679238</v>
      </c>
      <c r="AL23" s="237">
        <f t="shared" si="2"/>
        <v>-0.15</v>
      </c>
      <c r="AM23" s="237">
        <f t="shared" si="3"/>
        <v>7.0919098449679243</v>
      </c>
      <c r="AN23" s="285">
        <f t="shared" si="4"/>
        <v>0.70933345580672258</v>
      </c>
      <c r="AP23" s="65"/>
    </row>
    <row r="24" spans="2:43" x14ac:dyDescent="0.2">
      <c r="B24" s="48" t="s">
        <v>215</v>
      </c>
      <c r="C24" s="48"/>
      <c r="D24" s="2">
        <f>D5</f>
        <v>300</v>
      </c>
      <c r="E24" s="2">
        <f t="shared" ref="E24:Y24" si="13">D24*(1+$AE$5)</f>
        <v>309</v>
      </c>
      <c r="F24" s="2">
        <f t="shared" si="13"/>
        <v>318.27</v>
      </c>
      <c r="G24" s="2">
        <f t="shared" si="13"/>
        <v>327.81810000000002</v>
      </c>
      <c r="H24" s="2">
        <f t="shared" si="13"/>
        <v>337.65264300000001</v>
      </c>
      <c r="I24" s="2">
        <f t="shared" si="13"/>
        <v>347.78222228999999</v>
      </c>
      <c r="J24" s="2">
        <f t="shared" si="13"/>
        <v>358.21568895870001</v>
      </c>
      <c r="K24" s="2">
        <f t="shared" si="13"/>
        <v>368.96215962746101</v>
      </c>
      <c r="L24" s="2">
        <f t="shared" si="13"/>
        <v>380.03102441628482</v>
      </c>
      <c r="M24" s="2">
        <f t="shared" si="13"/>
        <v>391.4319551487734</v>
      </c>
      <c r="N24" s="2">
        <f t="shared" si="13"/>
        <v>403.17491380323662</v>
      </c>
      <c r="O24" s="2">
        <f t="shared" si="13"/>
        <v>415.27016121733374</v>
      </c>
      <c r="P24" s="2">
        <f t="shared" si="13"/>
        <v>427.72826605385376</v>
      </c>
      <c r="Q24" s="2">
        <f t="shared" si="13"/>
        <v>440.56011403546938</v>
      </c>
      <c r="R24" s="2">
        <f t="shared" si="13"/>
        <v>453.77691745653345</v>
      </c>
      <c r="S24" s="2">
        <f t="shared" si="13"/>
        <v>467.39022498022945</v>
      </c>
      <c r="T24" s="2">
        <f t="shared" si="13"/>
        <v>481.41193172963636</v>
      </c>
      <c r="U24" s="2">
        <f t="shared" si="13"/>
        <v>495.85428968152547</v>
      </c>
      <c r="V24" s="2">
        <f t="shared" si="13"/>
        <v>510.72991837197122</v>
      </c>
      <c r="W24" s="2">
        <f t="shared" si="13"/>
        <v>526.05181592313033</v>
      </c>
      <c r="X24" s="2">
        <f t="shared" si="13"/>
        <v>541.83337040082426</v>
      </c>
      <c r="Y24" s="2">
        <f t="shared" si="13"/>
        <v>558.08837151284899</v>
      </c>
      <c r="Z24" s="11"/>
      <c r="AA24" s="12">
        <f>IFERROR((E24/D24)-1,"")</f>
        <v>3.0000000000000027E-2</v>
      </c>
      <c r="AB24" s="12">
        <f>IFERROR((J24/D24)^(1/6)-1,"")</f>
        <v>3.0000000000000027E-2</v>
      </c>
      <c r="AC24" s="12">
        <f>IFERROR((O24/D24)^(1/11)-1,"")</f>
        <v>3.0000000000000027E-2</v>
      </c>
      <c r="AD24" s="12">
        <f>IFERROR((T24/D24)^(1/16)-1,"")</f>
        <v>3.0000000000000027E-2</v>
      </c>
      <c r="AE24" s="12">
        <f>IFERROR((Y24/D24)^(1/21)-1,"")</f>
        <v>3.0000000000000027E-2</v>
      </c>
      <c r="AF24" s="10"/>
      <c r="AG24" s="10"/>
      <c r="AH24" s="10"/>
      <c r="AJ24" s="11">
        <f t="shared" si="5"/>
        <v>2041</v>
      </c>
      <c r="AK24" s="236">
        <f t="shared" si="1"/>
        <v>8.3836019058327178</v>
      </c>
      <c r="AL24" s="236">
        <f t="shared" si="2"/>
        <v>-0.15</v>
      </c>
      <c r="AM24" s="236">
        <f t="shared" si="3"/>
        <v>8.2336019058327174</v>
      </c>
      <c r="AN24" s="284">
        <f t="shared" si="4"/>
        <v>0.71067533997455024</v>
      </c>
      <c r="AP24" s="65"/>
    </row>
    <row r="25" spans="2:43" ht="15" customHeight="1" x14ac:dyDescent="0.2">
      <c r="B25" s="48" t="s">
        <v>216</v>
      </c>
      <c r="C25" s="48"/>
      <c r="D25" s="2">
        <f>D6</f>
        <v>-243</v>
      </c>
      <c r="E25" s="2">
        <f t="shared" ref="E25:Y25" si="14">D25*(1+$AE$6)</f>
        <v>-250.29000000000002</v>
      </c>
      <c r="F25" s="2">
        <f t="shared" si="14"/>
        <v>-257.79870000000005</v>
      </c>
      <c r="G25" s="2">
        <f t="shared" si="14"/>
        <v>-265.53266100000008</v>
      </c>
      <c r="H25" s="2">
        <f t="shared" si="14"/>
        <v>-273.49864083000011</v>
      </c>
      <c r="I25" s="2">
        <f t="shared" si="14"/>
        <v>-281.70360005490011</v>
      </c>
      <c r="J25" s="2">
        <f t="shared" si="14"/>
        <v>-290.15470805654712</v>
      </c>
      <c r="K25" s="2">
        <f t="shared" si="14"/>
        <v>-298.85934929824356</v>
      </c>
      <c r="L25" s="2">
        <f t="shared" si="14"/>
        <v>-307.82512977719085</v>
      </c>
      <c r="M25" s="2">
        <f t="shared" si="14"/>
        <v>-317.05988367050657</v>
      </c>
      <c r="N25" s="2">
        <f t="shared" si="14"/>
        <v>-326.5716801806218</v>
      </c>
      <c r="O25" s="2">
        <f t="shared" si="14"/>
        <v>-336.36883058604047</v>
      </c>
      <c r="P25" s="2">
        <f t="shared" si="14"/>
        <v>-346.45989550362168</v>
      </c>
      <c r="Q25" s="2">
        <f t="shared" si="14"/>
        <v>-356.85369236873032</v>
      </c>
      <c r="R25" s="2">
        <f t="shared" si="14"/>
        <v>-367.55930313979223</v>
      </c>
      <c r="S25" s="2">
        <f t="shared" si="14"/>
        <v>-378.58608223398602</v>
      </c>
      <c r="T25" s="2">
        <f t="shared" si="14"/>
        <v>-389.94366470100562</v>
      </c>
      <c r="U25" s="2">
        <f t="shared" si="14"/>
        <v>-401.64197464203579</v>
      </c>
      <c r="V25" s="2">
        <f t="shared" si="14"/>
        <v>-413.69123388129685</v>
      </c>
      <c r="W25" s="2">
        <f t="shared" si="14"/>
        <v>-426.10197089773578</v>
      </c>
      <c r="X25" s="2">
        <f t="shared" si="14"/>
        <v>-438.88503002466786</v>
      </c>
      <c r="Y25" s="2">
        <f t="shared" si="14"/>
        <v>-452.0515809254079</v>
      </c>
      <c r="AA25" s="12">
        <f t="shared" ref="AA25:AA26" si="15">IFERROR((E25/D25)-1,"")</f>
        <v>3.0000000000000027E-2</v>
      </c>
      <c r="AB25" s="12">
        <f t="shared" ref="AB25:AB26" si="16">IFERROR((J25/D25)^(1/6)-1,"")</f>
        <v>3.0000000000000027E-2</v>
      </c>
      <c r="AC25" s="12">
        <f t="shared" ref="AC25:AC26" si="17">IFERROR((O25/D25)^(1/11)-1,"")</f>
        <v>3.0000000000000027E-2</v>
      </c>
      <c r="AD25" s="12">
        <f t="shared" ref="AD25:AD26" si="18">IFERROR((T25/D25)^(1/16)-1,"")</f>
        <v>3.0000000000000027E-2</v>
      </c>
      <c r="AE25" s="12">
        <f t="shared" ref="AE25:AE26" si="19">IFERROR((Y25/D25)^(1/21)-1,"")</f>
        <v>3.0000000000000027E-2</v>
      </c>
      <c r="AF25" s="10"/>
      <c r="AG25" s="10"/>
      <c r="AH25" s="10"/>
      <c r="AJ25" s="11">
        <f t="shared" si="5"/>
        <v>2042</v>
      </c>
      <c r="AK25" s="236">
        <f t="shared" si="1"/>
        <v>9.7143224363766851</v>
      </c>
      <c r="AL25" s="236">
        <f t="shared" si="2"/>
        <v>-0.15</v>
      </c>
      <c r="AM25" s="236">
        <f t="shared" si="3"/>
        <v>9.5643224363766866</v>
      </c>
      <c r="AN25" s="284">
        <f t="shared" si="4"/>
        <v>0.71183002547175456</v>
      </c>
      <c r="AP25" s="65"/>
    </row>
    <row r="26" spans="2:43" x14ac:dyDescent="0.2">
      <c r="B26" s="48" t="s">
        <v>164</v>
      </c>
      <c r="C26" s="48"/>
      <c r="D26" s="2">
        <f t="shared" ref="D26:Y26" si="20">$D$8*D40</f>
        <v>-7.5</v>
      </c>
      <c r="E26" s="2">
        <f t="shared" si="20"/>
        <v>-7.5</v>
      </c>
      <c r="F26" s="2">
        <f t="shared" si="20"/>
        <v>-7.5</v>
      </c>
      <c r="G26" s="2">
        <f t="shared" si="20"/>
        <v>-7.5</v>
      </c>
      <c r="H26" s="2">
        <f t="shared" si="20"/>
        <v>-7.5</v>
      </c>
      <c r="I26" s="2">
        <f t="shared" si="20"/>
        <v>-7.5</v>
      </c>
      <c r="J26" s="2">
        <f t="shared" si="20"/>
        <v>-7.5</v>
      </c>
      <c r="K26" s="2">
        <f t="shared" si="20"/>
        <v>-7.5</v>
      </c>
      <c r="L26" s="2">
        <f t="shared" si="20"/>
        <v>-7.5</v>
      </c>
      <c r="M26" s="2">
        <f t="shared" si="20"/>
        <v>-7.5</v>
      </c>
      <c r="N26" s="2">
        <f t="shared" si="20"/>
        <v>-7.5</v>
      </c>
      <c r="O26" s="2">
        <f t="shared" si="20"/>
        <v>-7.5</v>
      </c>
      <c r="P26" s="2">
        <f t="shared" si="20"/>
        <v>-7.5</v>
      </c>
      <c r="Q26" s="2">
        <f t="shared" si="20"/>
        <v>-7.5</v>
      </c>
      <c r="R26" s="2">
        <f t="shared" si="20"/>
        <v>-7.5</v>
      </c>
      <c r="S26" s="2">
        <f t="shared" si="20"/>
        <v>-7.5</v>
      </c>
      <c r="T26" s="2">
        <f t="shared" si="20"/>
        <v>-7.5</v>
      </c>
      <c r="U26" s="2">
        <f t="shared" si="20"/>
        <v>-7.5</v>
      </c>
      <c r="V26" s="2">
        <f t="shared" si="20"/>
        <v>-7.5</v>
      </c>
      <c r="W26" s="2">
        <f t="shared" si="20"/>
        <v>-7.5</v>
      </c>
      <c r="X26" s="2">
        <f t="shared" si="20"/>
        <v>-7.5</v>
      </c>
      <c r="Y26" s="2">
        <f t="shared" si="20"/>
        <v>-7.5</v>
      </c>
      <c r="AA26" s="12">
        <f t="shared" si="15"/>
        <v>0</v>
      </c>
      <c r="AB26" s="12">
        <f t="shared" si="16"/>
        <v>0</v>
      </c>
      <c r="AC26" s="12">
        <f t="shared" si="17"/>
        <v>0</v>
      </c>
      <c r="AD26" s="12">
        <f t="shared" si="18"/>
        <v>0</v>
      </c>
      <c r="AE26" s="12">
        <f t="shared" si="19"/>
        <v>0</v>
      </c>
      <c r="AG26" s="12"/>
      <c r="AH26" s="12"/>
      <c r="AJ26" s="11">
        <f t="shared" si="5"/>
        <v>2043</v>
      </c>
      <c r="AK26" s="236">
        <f t="shared" si="1"/>
        <v>11.268083050730205</v>
      </c>
      <c r="AL26" s="236">
        <f t="shared" si="2"/>
        <v>-0.15</v>
      </c>
      <c r="AM26" s="236">
        <f t="shared" si="3"/>
        <v>11.118083050730204</v>
      </c>
      <c r="AN26" s="284">
        <f t="shared" si="4"/>
        <v>0.71282354851225982</v>
      </c>
      <c r="AP26" s="65"/>
    </row>
    <row r="27" spans="2:43" x14ac:dyDescent="0.2">
      <c r="B27" s="134" t="s">
        <v>217</v>
      </c>
      <c r="C27" s="134"/>
      <c r="D27" s="235">
        <f t="shared" ref="D27:Y27" si="21">SUM(D24:D26)</f>
        <v>49.5</v>
      </c>
      <c r="E27" s="235">
        <f t="shared" si="21"/>
        <v>51.20999999999998</v>
      </c>
      <c r="F27" s="235">
        <f t="shared" si="21"/>
        <v>52.971299999999928</v>
      </c>
      <c r="G27" s="235">
        <f t="shared" si="21"/>
        <v>54.78543899999994</v>
      </c>
      <c r="H27" s="235">
        <f t="shared" si="21"/>
        <v>56.654002169999899</v>
      </c>
      <c r="I27" s="235">
        <f t="shared" si="21"/>
        <v>58.578622235099886</v>
      </c>
      <c r="J27" s="235">
        <f t="shared" si="21"/>
        <v>60.560980902152892</v>
      </c>
      <c r="K27" s="235">
        <f t="shared" si="21"/>
        <v>62.602810329217448</v>
      </c>
      <c r="L27" s="235">
        <f t="shared" si="21"/>
        <v>64.70589463909397</v>
      </c>
      <c r="M27" s="235">
        <f t="shared" si="21"/>
        <v>66.872071478266832</v>
      </c>
      <c r="N27" s="235">
        <f t="shared" si="21"/>
        <v>69.103233622614823</v>
      </c>
      <c r="O27" s="235">
        <f t="shared" si="21"/>
        <v>71.401330631293263</v>
      </c>
      <c r="P27" s="235">
        <f t="shared" si="21"/>
        <v>73.768370550232078</v>
      </c>
      <c r="Q27" s="235">
        <f t="shared" si="21"/>
        <v>76.206421666739061</v>
      </c>
      <c r="R27" s="235">
        <f t="shared" si="21"/>
        <v>78.717614316741219</v>
      </c>
      <c r="S27" s="235">
        <f t="shared" si="21"/>
        <v>81.304142746243429</v>
      </c>
      <c r="T27" s="235">
        <f t="shared" si="21"/>
        <v>83.968267028630748</v>
      </c>
      <c r="U27" s="235">
        <f t="shared" si="21"/>
        <v>86.712315039489681</v>
      </c>
      <c r="V27" s="235">
        <f t="shared" si="21"/>
        <v>89.53868449067437</v>
      </c>
      <c r="W27" s="235">
        <f t="shared" si="21"/>
        <v>92.449845025394552</v>
      </c>
      <c r="X27" s="235">
        <f t="shared" si="21"/>
        <v>95.448340376156409</v>
      </c>
      <c r="Y27" s="235">
        <f t="shared" si="21"/>
        <v>98.536790587441089</v>
      </c>
      <c r="Z27" s="5"/>
      <c r="AA27" s="14">
        <f t="shared" ref="AA27" si="22">IFERROR((E27/D27)-1,"")</f>
        <v>3.4545454545454213E-2</v>
      </c>
      <c r="AB27" s="14">
        <f t="shared" ref="AB27" si="23">IFERROR((J27/D27)^(1/6)-1,"")</f>
        <v>3.4184323497836067E-2</v>
      </c>
      <c r="AC27" s="14">
        <f t="shared" ref="AC27" si="24">IFERROR((O27/D27)^(1/11)-1,"")</f>
        <v>3.3864770944042499E-2</v>
      </c>
      <c r="AD27" s="14">
        <f t="shared" ref="AD27" si="25">IFERROR((T27/D27)^(1/16)-1,"")</f>
        <v>3.358066021267847E-2</v>
      </c>
      <c r="AE27" s="136">
        <f t="shared" ref="AE27" si="26">IFERROR((Y27/D27)^(1/21)-1,"")</f>
        <v>3.3326987607823488E-2</v>
      </c>
      <c r="AG27" s="12"/>
      <c r="AH27" s="12"/>
      <c r="AJ27" s="11">
        <f t="shared" si="5"/>
        <v>2044</v>
      </c>
      <c r="AK27" s="236">
        <f t="shared" si="1"/>
        <v>13.085357372093329</v>
      </c>
      <c r="AL27" s="236">
        <f t="shared" si="2"/>
        <v>-0.15</v>
      </c>
      <c r="AM27" s="236">
        <f t="shared" si="3"/>
        <v>12.935357372093328</v>
      </c>
      <c r="AN27" s="284">
        <f t="shared" si="4"/>
        <v>0.71367833744597531</v>
      </c>
      <c r="AP27" s="65"/>
    </row>
    <row r="28" spans="2:43" hidden="1" outlineLevel="1" x14ac:dyDescent="0.2">
      <c r="B28" s="48" t="s">
        <v>230</v>
      </c>
      <c r="C28" s="48"/>
      <c r="D28" s="2">
        <f t="shared" ref="D28:Y28" si="27">MAX(-D27,0)</f>
        <v>0</v>
      </c>
      <c r="E28" s="2">
        <f t="shared" si="27"/>
        <v>0</v>
      </c>
      <c r="F28" s="2">
        <f t="shared" si="27"/>
        <v>0</v>
      </c>
      <c r="G28" s="2">
        <f t="shared" si="27"/>
        <v>0</v>
      </c>
      <c r="H28" s="2">
        <f t="shared" si="27"/>
        <v>0</v>
      </c>
      <c r="I28" s="2">
        <f t="shared" si="27"/>
        <v>0</v>
      </c>
      <c r="J28" s="2">
        <f t="shared" si="27"/>
        <v>0</v>
      </c>
      <c r="K28" s="2">
        <f t="shared" si="27"/>
        <v>0</v>
      </c>
      <c r="L28" s="2">
        <f t="shared" si="27"/>
        <v>0</v>
      </c>
      <c r="M28" s="2">
        <f t="shared" si="27"/>
        <v>0</v>
      </c>
      <c r="N28" s="2">
        <f t="shared" si="27"/>
        <v>0</v>
      </c>
      <c r="O28" s="2">
        <f t="shared" si="27"/>
        <v>0</v>
      </c>
      <c r="P28" s="2">
        <f t="shared" si="27"/>
        <v>0</v>
      </c>
      <c r="Q28" s="2">
        <f t="shared" si="27"/>
        <v>0</v>
      </c>
      <c r="R28" s="2">
        <f t="shared" si="27"/>
        <v>0</v>
      </c>
      <c r="S28" s="2">
        <f t="shared" si="27"/>
        <v>0</v>
      </c>
      <c r="T28" s="2">
        <f t="shared" si="27"/>
        <v>0</v>
      </c>
      <c r="U28" s="2">
        <f t="shared" si="27"/>
        <v>0</v>
      </c>
      <c r="V28" s="2">
        <f t="shared" si="27"/>
        <v>0</v>
      </c>
      <c r="W28" s="2">
        <f t="shared" si="27"/>
        <v>0</v>
      </c>
      <c r="X28" s="2">
        <f t="shared" si="27"/>
        <v>0</v>
      </c>
      <c r="Y28" s="2">
        <f t="shared" si="27"/>
        <v>0</v>
      </c>
      <c r="AA28" s="12" t="str">
        <f>IFERROR((E28/D28)-1,"")</f>
        <v/>
      </c>
      <c r="AB28" s="12" t="str">
        <f>IFERROR((J28/D28)^(1/6)-1,"")</f>
        <v/>
      </c>
      <c r="AC28" s="12" t="str">
        <f>IFERROR((O28/D28)^(1/11)-1,"")</f>
        <v/>
      </c>
      <c r="AD28" s="12" t="str">
        <f>IFERROR((T28/D28)^(1/16)-1,"")</f>
        <v/>
      </c>
      <c r="AE28" s="12" t="str">
        <f>IFERROR((Y28/D28)^(1/21)-1,"")</f>
        <v/>
      </c>
      <c r="AG28" s="12"/>
      <c r="AH28" s="12"/>
      <c r="AJ28" s="4"/>
      <c r="AK28" t="e">
        <f t="shared" si="1"/>
        <v>#N/A</v>
      </c>
      <c r="AL28" t="e">
        <f t="shared" si="2"/>
        <v>#N/A</v>
      </c>
      <c r="AM28" t="e">
        <f t="shared" si="3"/>
        <v>#N/A</v>
      </c>
      <c r="AN28" s="286" t="e">
        <f t="shared" si="4"/>
        <v>#N/A</v>
      </c>
      <c r="AO28" s="25"/>
      <c r="AP28" s="65"/>
    </row>
    <row r="29" spans="2:43" hidden="1" outlineLevel="1" x14ac:dyDescent="0.2">
      <c r="B29" s="48" t="s">
        <v>231</v>
      </c>
      <c r="C29" s="48"/>
      <c r="D29" s="2"/>
      <c r="E29" s="2">
        <f t="shared" ref="E29:Y29" si="28">+$V$15*E24</f>
        <v>0</v>
      </c>
      <c r="F29" s="2">
        <f t="shared" si="28"/>
        <v>0</v>
      </c>
      <c r="G29" s="2">
        <f t="shared" si="28"/>
        <v>0</v>
      </c>
      <c r="H29" s="2">
        <f t="shared" si="28"/>
        <v>0</v>
      </c>
      <c r="I29" s="2">
        <f t="shared" si="28"/>
        <v>0</v>
      </c>
      <c r="J29" s="2">
        <f t="shared" si="28"/>
        <v>0</v>
      </c>
      <c r="K29" s="2">
        <f t="shared" si="28"/>
        <v>0</v>
      </c>
      <c r="L29" s="2">
        <f t="shared" si="28"/>
        <v>0</v>
      </c>
      <c r="M29" s="2">
        <f t="shared" si="28"/>
        <v>0</v>
      </c>
      <c r="N29" s="2">
        <f t="shared" si="28"/>
        <v>0</v>
      </c>
      <c r="O29" s="2">
        <f t="shared" si="28"/>
        <v>0</v>
      </c>
      <c r="P29" s="2">
        <f t="shared" si="28"/>
        <v>0</v>
      </c>
      <c r="Q29" s="2">
        <f t="shared" si="28"/>
        <v>0</v>
      </c>
      <c r="R29" s="2">
        <f t="shared" si="28"/>
        <v>0</v>
      </c>
      <c r="S29" s="2">
        <f t="shared" si="28"/>
        <v>0</v>
      </c>
      <c r="T29" s="2">
        <f t="shared" si="28"/>
        <v>0</v>
      </c>
      <c r="U29" s="2">
        <f t="shared" si="28"/>
        <v>0</v>
      </c>
      <c r="V29" s="2">
        <f t="shared" si="28"/>
        <v>0</v>
      </c>
      <c r="W29" s="2">
        <f t="shared" si="28"/>
        <v>0</v>
      </c>
      <c r="X29" s="2">
        <f t="shared" si="28"/>
        <v>0</v>
      </c>
      <c r="Y29" s="2">
        <f t="shared" si="28"/>
        <v>0</v>
      </c>
      <c r="AA29" s="12" t="str">
        <f>IFERROR((E29/D29)-1,"")</f>
        <v/>
      </c>
      <c r="AB29" s="12" t="str">
        <f>IFERROR((J29/D29)^(1/6)-1,"")</f>
        <v/>
      </c>
      <c r="AC29" s="12" t="str">
        <f>IFERROR((O29/D29)^(1/11)-1,"")</f>
        <v/>
      </c>
      <c r="AD29" s="12" t="str">
        <f>IFERROR((T29/D29)^(1/16)-1,"")</f>
        <v/>
      </c>
      <c r="AE29" s="12" t="str">
        <f>IFERROR((Y29/D29)^(1/21)-1,"")</f>
        <v/>
      </c>
      <c r="AG29" s="12"/>
      <c r="AH29" s="12"/>
      <c r="AK29" s="58" t="e">
        <f t="shared" si="1"/>
        <v>#N/A</v>
      </c>
      <c r="AL29" t="e">
        <f t="shared" si="2"/>
        <v>#N/A</v>
      </c>
      <c r="AM29" s="58" t="e">
        <f t="shared" si="3"/>
        <v>#N/A</v>
      </c>
      <c r="AN29" s="287" t="e">
        <f t="shared" si="4"/>
        <v>#N/A</v>
      </c>
      <c r="AO29" s="58"/>
      <c r="AP29" s="65"/>
      <c r="AQ29" s="34"/>
    </row>
    <row r="30" spans="2:43" hidden="1" outlineLevel="1" x14ac:dyDescent="0.2">
      <c r="B30" s="51" t="s">
        <v>232</v>
      </c>
      <c r="C30" s="51"/>
      <c r="D30" s="24">
        <f t="shared" ref="D30:Y30" si="29">D27+D28+D29</f>
        <v>49.5</v>
      </c>
      <c r="E30" s="24">
        <f t="shared" si="29"/>
        <v>51.20999999999998</v>
      </c>
      <c r="F30" s="24">
        <f t="shared" si="29"/>
        <v>52.971299999999928</v>
      </c>
      <c r="G30" s="24">
        <f t="shared" si="29"/>
        <v>54.78543899999994</v>
      </c>
      <c r="H30" s="24">
        <f t="shared" si="29"/>
        <v>56.654002169999899</v>
      </c>
      <c r="I30" s="24">
        <f t="shared" si="29"/>
        <v>58.578622235099886</v>
      </c>
      <c r="J30" s="24">
        <f t="shared" si="29"/>
        <v>60.560980902152892</v>
      </c>
      <c r="K30" s="24">
        <f t="shared" si="29"/>
        <v>62.602810329217448</v>
      </c>
      <c r="L30" s="24">
        <f t="shared" si="29"/>
        <v>64.70589463909397</v>
      </c>
      <c r="M30" s="24">
        <f t="shared" si="29"/>
        <v>66.872071478266832</v>
      </c>
      <c r="N30" s="24">
        <f t="shared" si="29"/>
        <v>69.103233622614823</v>
      </c>
      <c r="O30" s="24">
        <f t="shared" si="29"/>
        <v>71.401330631293263</v>
      </c>
      <c r="P30" s="24">
        <f t="shared" si="29"/>
        <v>73.768370550232078</v>
      </c>
      <c r="Q30" s="24">
        <f t="shared" si="29"/>
        <v>76.206421666739061</v>
      </c>
      <c r="R30" s="24">
        <f t="shared" si="29"/>
        <v>78.717614316741219</v>
      </c>
      <c r="S30" s="24">
        <f t="shared" si="29"/>
        <v>81.304142746243429</v>
      </c>
      <c r="T30" s="24">
        <f t="shared" si="29"/>
        <v>83.968267028630748</v>
      </c>
      <c r="U30" s="24">
        <f t="shared" si="29"/>
        <v>86.712315039489681</v>
      </c>
      <c r="V30" s="24">
        <f t="shared" si="29"/>
        <v>89.53868449067437</v>
      </c>
      <c r="W30" s="24">
        <f t="shared" si="29"/>
        <v>92.449845025394552</v>
      </c>
      <c r="X30" s="24">
        <f t="shared" si="29"/>
        <v>95.448340376156409</v>
      </c>
      <c r="Y30" s="24">
        <f t="shared" si="29"/>
        <v>98.536790587441089</v>
      </c>
      <c r="Z30" s="3"/>
      <c r="AA30" s="14">
        <f>IFERROR((E30/D30)-1,"")</f>
        <v>3.4545454545454213E-2</v>
      </c>
      <c r="AB30" s="14">
        <f>IFERROR((J30/D30)^(1/6)-1,"")</f>
        <v>3.4184323497836067E-2</v>
      </c>
      <c r="AC30" s="14">
        <f>IFERROR((O30/D30)^(1/11)-1,"")</f>
        <v>3.3864770944042499E-2</v>
      </c>
      <c r="AD30" s="14">
        <f>IFERROR((T30/D30)^(1/16)-1,"")</f>
        <v>3.358066021267847E-2</v>
      </c>
      <c r="AE30" s="14">
        <f>IFERROR((Y30/D30)^(1/21)-1,"")</f>
        <v>3.3326987607823488E-2</v>
      </c>
      <c r="AG30" s="12"/>
      <c r="AH30" s="12"/>
      <c r="AK30" s="58" t="e">
        <f t="shared" si="1"/>
        <v>#N/A</v>
      </c>
      <c r="AL30" t="e">
        <f t="shared" si="2"/>
        <v>#N/A</v>
      </c>
      <c r="AM30" s="58" t="e">
        <f t="shared" si="3"/>
        <v>#N/A</v>
      </c>
      <c r="AN30" s="287" t="e">
        <f t="shared" si="4"/>
        <v>#N/A</v>
      </c>
      <c r="AO30" s="58"/>
      <c r="AP30" s="65"/>
      <c r="AQ30" s="34"/>
    </row>
    <row r="31" spans="2:43" hidden="1" outlineLevel="1" collapsed="1" x14ac:dyDescent="0.2">
      <c r="B31" s="18" t="s">
        <v>221</v>
      </c>
      <c r="C31" s="18"/>
      <c r="D31" s="79"/>
      <c r="E31" s="86">
        <f t="shared" ref="E31:Y31" si="30">IFERROR(IF(E19&lt;=$D$19+$V$12,$V$13/(1-$V$13*(E19-$D$19-1)),0),0)</f>
        <v>0.1</v>
      </c>
      <c r="F31" s="86">
        <f t="shared" si="30"/>
        <v>0</v>
      </c>
      <c r="G31" s="86">
        <f t="shared" si="30"/>
        <v>0</v>
      </c>
      <c r="H31" s="86">
        <f t="shared" si="30"/>
        <v>0</v>
      </c>
      <c r="I31" s="86">
        <f t="shared" si="30"/>
        <v>0</v>
      </c>
      <c r="J31" s="86">
        <f t="shared" si="30"/>
        <v>0</v>
      </c>
      <c r="K31" s="86">
        <f t="shared" si="30"/>
        <v>0</v>
      </c>
      <c r="L31" s="86">
        <f t="shared" si="30"/>
        <v>0</v>
      </c>
      <c r="M31" s="86">
        <f t="shared" si="30"/>
        <v>0</v>
      </c>
      <c r="N31" s="86">
        <f t="shared" si="30"/>
        <v>0</v>
      </c>
      <c r="O31" s="86">
        <f t="shared" si="30"/>
        <v>0</v>
      </c>
      <c r="P31" s="86">
        <f t="shared" si="30"/>
        <v>0</v>
      </c>
      <c r="Q31" s="86">
        <f t="shared" si="30"/>
        <v>0</v>
      </c>
      <c r="R31" s="86">
        <f t="shared" si="30"/>
        <v>0</v>
      </c>
      <c r="S31" s="86">
        <f t="shared" si="30"/>
        <v>0</v>
      </c>
      <c r="T31" s="86">
        <f t="shared" si="30"/>
        <v>0</v>
      </c>
      <c r="U31" s="86">
        <f t="shared" si="30"/>
        <v>0</v>
      </c>
      <c r="V31" s="86">
        <f t="shared" si="30"/>
        <v>0</v>
      </c>
      <c r="W31" s="86">
        <f t="shared" si="30"/>
        <v>0</v>
      </c>
      <c r="X31" s="86">
        <f t="shared" si="30"/>
        <v>0</v>
      </c>
      <c r="Y31" s="86">
        <f t="shared" si="30"/>
        <v>0</v>
      </c>
      <c r="AG31" s="12"/>
      <c r="AH31" s="12"/>
      <c r="AK31" s="58" t="e">
        <f t="shared" si="1"/>
        <v>#N/A</v>
      </c>
      <c r="AL31" t="e">
        <f t="shared" si="2"/>
        <v>#N/A</v>
      </c>
      <c r="AM31" s="58" t="e">
        <f t="shared" si="3"/>
        <v>#N/A</v>
      </c>
      <c r="AN31" s="287" t="e">
        <f t="shared" si="4"/>
        <v>#N/A</v>
      </c>
      <c r="AO31" s="58"/>
      <c r="AP31" s="65"/>
      <c r="AQ31" s="34"/>
    </row>
    <row r="32" spans="2:43" hidden="1" outlineLevel="1" x14ac:dyDescent="0.2">
      <c r="B32" s="48" t="s">
        <v>169</v>
      </c>
      <c r="C32" s="48"/>
      <c r="D32" s="2">
        <f t="shared" ref="D32:Y32" si="31">-D20*D22/10^6</f>
        <v>0</v>
      </c>
      <c r="E32" s="2">
        <f t="shared" si="31"/>
        <v>-55.070999999999998</v>
      </c>
      <c r="F32" s="2">
        <f t="shared" si="31"/>
        <v>-5.2971299999999939</v>
      </c>
      <c r="G32" s="2">
        <f t="shared" si="31"/>
        <v>-5.4785438999999947</v>
      </c>
      <c r="H32" s="2">
        <f t="shared" si="31"/>
        <v>-5.6654002169999913</v>
      </c>
      <c r="I32" s="2">
        <f t="shared" si="31"/>
        <v>-5.8578622235099891</v>
      </c>
      <c r="J32" s="2">
        <f t="shared" si="31"/>
        <v>-6.056098090215289</v>
      </c>
      <c r="K32" s="2">
        <f t="shared" si="31"/>
        <v>-6.2602810329217453</v>
      </c>
      <c r="L32" s="2">
        <f t="shared" si="31"/>
        <v>-6.4705894639093975</v>
      </c>
      <c r="M32" s="2">
        <f t="shared" si="31"/>
        <v>-6.6872071478266824</v>
      </c>
      <c r="N32" s="2">
        <f t="shared" si="31"/>
        <v>-6.910323362261483</v>
      </c>
      <c r="O32" s="2">
        <f t="shared" si="31"/>
        <v>-7.1401330631293263</v>
      </c>
      <c r="P32" s="2">
        <f t="shared" si="31"/>
        <v>-7.3768370550232083</v>
      </c>
      <c r="Q32" s="2">
        <f t="shared" si="31"/>
        <v>-7.6206421666739077</v>
      </c>
      <c r="R32" s="2">
        <f t="shared" si="31"/>
        <v>-7.8717614316741225</v>
      </c>
      <c r="S32" s="2">
        <f t="shared" si="31"/>
        <v>-8.1304142746243429</v>
      </c>
      <c r="T32" s="2">
        <f t="shared" si="31"/>
        <v>-8.3968267028630752</v>
      </c>
      <c r="U32" s="2">
        <f t="shared" si="31"/>
        <v>-8.6712315039489685</v>
      </c>
      <c r="V32" s="2">
        <f t="shared" si="31"/>
        <v>-8.9538684490674374</v>
      </c>
      <c r="W32" s="2">
        <f t="shared" si="31"/>
        <v>-9.2449845025394559</v>
      </c>
      <c r="X32" s="2">
        <f t="shared" si="31"/>
        <v>-9.544834037615642</v>
      </c>
      <c r="Y32" s="2">
        <f t="shared" si="31"/>
        <v>-9.8536790587441097</v>
      </c>
      <c r="AA32" s="12" t="str">
        <f>IFERROR((E32/D32)-1,"")</f>
        <v/>
      </c>
      <c r="AB32" s="12" t="str">
        <f>IFERROR((J32/D32)^(1/6)-1,"")</f>
        <v/>
      </c>
      <c r="AC32" s="12" t="str">
        <f>IFERROR((O32/D32)^(1/11)-1,"")</f>
        <v/>
      </c>
      <c r="AD32" s="12" t="str">
        <f>IFERROR((T32/D32)^(1/16)-1,"")</f>
        <v/>
      </c>
      <c r="AE32" s="12" t="str">
        <f>IFERROR((Y32/D32)^(1/21)-1,"")</f>
        <v/>
      </c>
      <c r="AG32" s="12">
        <f t="shared" ref="AG32" si="32">D34/D$38</f>
        <v>0</v>
      </c>
      <c r="AH32" s="12">
        <f>Y34/Y$38</f>
        <v>0.62919795330993944</v>
      </c>
      <c r="AK32" s="58" t="e">
        <f t="shared" si="1"/>
        <v>#N/A</v>
      </c>
      <c r="AL32" t="e">
        <f t="shared" si="2"/>
        <v>#N/A</v>
      </c>
      <c r="AM32" s="58" t="e">
        <f t="shared" si="3"/>
        <v>#N/A</v>
      </c>
      <c r="AN32" s="287" t="e">
        <f t="shared" si="4"/>
        <v>#N/A</v>
      </c>
      <c r="AO32" s="58"/>
      <c r="AP32" s="65"/>
      <c r="AQ32" s="34"/>
    </row>
    <row r="33" spans="2:42" collapsed="1" x14ac:dyDescent="0.2">
      <c r="B33" s="213" t="s">
        <v>223</v>
      </c>
      <c r="C33" s="213"/>
      <c r="D33" s="214"/>
      <c r="E33" s="214"/>
      <c r="F33" s="214"/>
      <c r="G33" s="214"/>
      <c r="H33" s="214"/>
      <c r="I33" s="214"/>
      <c r="J33" s="214"/>
      <c r="K33" s="214"/>
      <c r="L33" s="214"/>
      <c r="M33" s="214"/>
      <c r="N33" s="214"/>
      <c r="O33" s="214"/>
      <c r="P33" s="214"/>
      <c r="Q33" s="214"/>
      <c r="R33" s="214"/>
      <c r="S33" s="214"/>
      <c r="T33" s="214"/>
      <c r="U33" s="214"/>
      <c r="V33" s="214"/>
      <c r="W33" s="214"/>
      <c r="X33" s="214"/>
      <c r="Y33" s="214"/>
      <c r="AE33" s="214"/>
      <c r="AJ33" s="188">
        <f>AJ27+1</f>
        <v>2045</v>
      </c>
      <c r="AK33" s="237">
        <f t="shared" si="1"/>
        <v>15.214343446890245</v>
      </c>
      <c r="AL33" s="237">
        <f t="shared" si="2"/>
        <v>-0.15</v>
      </c>
      <c r="AM33" s="237">
        <f t="shared" si="3"/>
        <v>15.064343446890245</v>
      </c>
      <c r="AN33" s="285">
        <f t="shared" si="4"/>
        <v>0.71441371043959367</v>
      </c>
      <c r="AO33" s="42"/>
      <c r="AP33" s="65"/>
    </row>
    <row r="34" spans="2:42" x14ac:dyDescent="0.2">
      <c r="B34" t="s">
        <v>50</v>
      </c>
      <c r="D34" s="20">
        <f t="shared" ref="D34:Y34" si="33">D21*D22/10^6</f>
        <v>0</v>
      </c>
      <c r="E34" s="2">
        <f t="shared" si="33"/>
        <v>55.070999999999998</v>
      </c>
      <c r="F34" s="2">
        <f t="shared" si="33"/>
        <v>86.526854999999998</v>
      </c>
      <c r="G34" s="2">
        <f t="shared" si="33"/>
        <v>130.94248364999999</v>
      </c>
      <c r="H34" s="2">
        <f t="shared" si="33"/>
        <v>192.25843941824996</v>
      </c>
      <c r="I34" s="2">
        <f t="shared" si="33"/>
        <v>275.01967740905991</v>
      </c>
      <c r="J34" s="2">
        <f t="shared" si="33"/>
        <v>384.2081545276726</v>
      </c>
      <c r="K34" s="2">
        <f t="shared" si="33"/>
        <v>524.94128964527965</v>
      </c>
      <c r="L34" s="2">
        <f t="shared" si="33"/>
        <v>702.01779824390485</v>
      </c>
      <c r="M34" s="2">
        <f t="shared" si="33"/>
        <v>919.31034486490273</v>
      </c>
      <c r="N34" s="2">
        <f t="shared" si="33"/>
        <v>1179.0310130650123</v>
      </c>
      <c r="O34" s="2">
        <f t="shared" si="33"/>
        <v>1480.9288993943946</v>
      </c>
      <c r="P34" s="2">
        <f t="shared" si="33"/>
        <v>1821.5147388131563</v>
      </c>
      <c r="Q34" s="2">
        <f t="shared" si="33"/>
        <v>2193.4383287424616</v>
      </c>
      <c r="R34" s="2">
        <f t="shared" si="33"/>
        <v>2639.9977559226281</v>
      </c>
      <c r="S34" s="2">
        <f t="shared" si="33"/>
        <v>3176.1277213817771</v>
      </c>
      <c r="T34" s="2">
        <f t="shared" si="33"/>
        <v>3819.750092360996</v>
      </c>
      <c r="U34" s="2">
        <f t="shared" si="33"/>
        <v>4592.3713423371437</v>
      </c>
      <c r="V34" s="2">
        <f t="shared" si="33"/>
        <v>5519.7994792536401</v>
      </c>
      <c r="W34" s="2">
        <f t="shared" si="33"/>
        <v>6633.0043596069081</v>
      </c>
      <c r="X34" s="2">
        <f t="shared" si="33"/>
        <v>7969.1500655659056</v>
      </c>
      <c r="Y34" s="2">
        <f t="shared" si="33"/>
        <v>9572.8337577378315</v>
      </c>
      <c r="AA34" s="12" t="str">
        <f>IFERROR((E34/D34)-1,"")</f>
        <v/>
      </c>
      <c r="AB34" s="12" t="str">
        <f>IFERROR((J34/D34)^(1/6)-1,"")</f>
        <v/>
      </c>
      <c r="AC34" s="12" t="str">
        <f>IFERROR((O34/D34)^(1/11)-1,"")</f>
        <v/>
      </c>
      <c r="AD34" s="12" t="str">
        <f>IFERROR((T34/D34)^(1/16)-1,"")</f>
        <v/>
      </c>
      <c r="AE34" s="12" t="str">
        <f>IFERROR((Y34/D34)^(1/21)-1,"")</f>
        <v/>
      </c>
    </row>
    <row r="35" spans="2:42" x14ac:dyDescent="0.2">
      <c r="B35" t="s">
        <v>42</v>
      </c>
      <c r="D35" s="20">
        <f>O5*$D$9+MAX(D$27,0)*O5</f>
        <v>24.975000000000001</v>
      </c>
      <c r="E35" s="2">
        <f>D35*(1+Macro!D69)*(1-E31)+MAX(E$27,0)*$O5*(1-$V$14)</f>
        <v>25.499904545454541</v>
      </c>
      <c r="F35" s="2">
        <f>E35*(1+Macro!E69)*(1-F31)+MAX(F$27,0)*$O5*(1-$V$14)</f>
        <v>28.698106311034163</v>
      </c>
      <c r="G35" s="2">
        <f>F35*(1+Macro!F69)*(1-G31)+MAX(G$27,0)*$O5*(1-$V$14)</f>
        <v>32.08009819636203</v>
      </c>
      <c r="H35" s="2">
        <f>G35*(1+Macro!G69)*(1-H31)+MAX(H$27,0)*$O5*(1-$V$14)</f>
        <v>35.654199735173464</v>
      </c>
      <c r="I35" s="2">
        <f>H35*(1+Macro!H69)*(1-I31)+MAX(I$27,0)*$O5*(1-$V$14)</f>
        <v>39.429069668326065</v>
      </c>
      <c r="J35" s="2">
        <f>I35*(1+Macro!I69)*(1-J31)+MAX(J$27,0)*$O5*(1-$V$14)</f>
        <v>43.413718982604117</v>
      </c>
      <c r="K35" s="2">
        <f>J35*(1+Macro!J69)*(1-K31)+MAX(K$27,0)*$O5*(1-$V$14)</f>
        <v>47.617524432121236</v>
      </c>
      <c r="L35" s="2">
        <f>K35*(1+Macro!K69)*(1-L31)+MAX(L$27,0)*$O5*(1-$V$14)</f>
        <v>52.050242559719713</v>
      </c>
      <c r="M35" s="2">
        <f>L35*(1+Macro!L69)*(1-M31)+MAX(M$27,0)*$O5*(1-$V$14)</f>
        <v>56.722024236380186</v>
      </c>
      <c r="N35" s="2">
        <f>M35*(1+Macro!M69)*(1-N31)+MAX(N$27,0)*$O5*(1-$V$14)</f>
        <v>61.643429737292053</v>
      </c>
      <c r="O35" s="2">
        <f>N35*(1+Macro!N69)*(1-O31)+MAX(O$27,0)*$O5*(1-$V$14)</f>
        <v>66.825444373893845</v>
      </c>
      <c r="P35" s="2">
        <f>O35*(1+Macro!O69)*(1-P31)+MAX(P$27,0)*$O5*(1-$V$14)</f>
        <v>72.279494701874469</v>
      </c>
      <c r="Q35" s="2">
        <f>P35*(1+Macro!P69)*(1-Q31)+MAX(Q$27,0)*$O5*(1-$V$14)</f>
        <v>78.017465325831935</v>
      </c>
      <c r="R35" s="2">
        <f>Q35*(1+Macro!Q69)*(1-R31)+MAX(R$27,0)*$O5*(1-$V$14)</f>
        <v>84.05171632201602</v>
      </c>
      <c r="S35" s="2">
        <f>R35*(1+Macro!R69)*(1-S31)+MAX(S$27,0)*$O5*(1-$V$14)</f>
        <v>90.395101301337036</v>
      </c>
      <c r="T35" s="2">
        <f>S35*(1+Macro!S69)*(1-T31)+MAX(T$27,0)*$O5*(1-$V$14)</f>
        <v>97.060986135604225</v>
      </c>
      <c r="U35" s="2">
        <f>T35*(1+Macro!T69)*(1-U31)+MAX(U$27,0)*$O5*(1-$V$14)</f>
        <v>104.06326837076665</v>
      </c>
      <c r="V35" s="2">
        <f>U35*(1+Macro!U69)*(1-V31)+MAX(V$27,0)*$O5*(1-$V$14)</f>
        <v>111.41639735176582</v>
      </c>
      <c r="W35" s="2">
        <f>V35*(1+Macro!V69)*(1-W31)+MAX(W$27,0)*$O5*(1-$V$14)</f>
        <v>119.13539508447602</v>
      </c>
      <c r="X35" s="2">
        <f>W35*(1+Macro!W69)*(1-X31)+MAX(X$27,0)*$O5*(1-$V$14)</f>
        <v>127.23587786110376</v>
      </c>
      <c r="Y35" s="2">
        <f>X35*(1+Macro!X69)*(1-Y31)+MAX(Y$27,0)*$O5*(1-$V$14)</f>
        <v>135.73407867634535</v>
      </c>
      <c r="AA35" s="12">
        <f>IFERROR((E35/D35)-1,"")</f>
        <v>2.1017199017198784E-2</v>
      </c>
      <c r="AB35" s="12">
        <f>IFERROR((J35/D35)^(1/6)-1,"")</f>
        <v>9.6529320611224545E-2</v>
      </c>
      <c r="AC35" s="12">
        <f>IFERROR((O35/D35)^(1/11)-1,"")</f>
        <v>9.3598361249553674E-2</v>
      </c>
      <c r="AD35" s="12">
        <f>IFERROR((T35/D35)^(1/16)-1,"")</f>
        <v>8.8544530927006537E-2</v>
      </c>
      <c r="AE35" s="12">
        <f>IFERROR((Y35/D35)^(1/21)-1,"")</f>
        <v>8.3948711489208572E-2</v>
      </c>
      <c r="AG35" s="15"/>
      <c r="AH35" s="15"/>
    </row>
    <row r="36" spans="2:42" x14ac:dyDescent="0.2">
      <c r="B36" t="s">
        <v>46</v>
      </c>
      <c r="D36" s="20">
        <f>O6*$D$9+MAX(D$27,0)*O6</f>
        <v>399.6</v>
      </c>
      <c r="E36" s="2">
        <f>D36*(1+Macro!D71)*(1-E31)+MAX(E$27,0)*$O6*(1-$V$14)</f>
        <v>428.55832871287134</v>
      </c>
      <c r="F36" s="2">
        <f>E36*(1+Macro!E71)*(1-F31)+MAX(F$27,0)*$O6*(1-$V$14)</f>
        <v>504.88603063778066</v>
      </c>
      <c r="G36" s="2">
        <f>F36*(1+Macro!F71)*(1-G31)+MAX(G$27,0)*$O6*(1-$V$14)</f>
        <v>589.32139103203838</v>
      </c>
      <c r="H36" s="2">
        <f>G36*(1+Macro!G71)*(1-H31)+MAX(H$27,0)*$O6*(1-$V$14)</f>
        <v>682.62605991412499</v>
      </c>
      <c r="I36" s="2">
        <f>H36*(1+Macro!H71)*(1-I31)+MAX(I$27,0)*$O6*(1-$V$14)</f>
        <v>785.63073266822005</v>
      </c>
      <c r="J36" s="2">
        <f>I36*(1+Macro!I71)*(1-J31)+MAX(J$27,0)*$O6*(1-$V$14)</f>
        <v>899.24133786840366</v>
      </c>
      <c r="K36" s="2">
        <f>J36*(1+Macro!J71)*(1-K31)+MAX(K$27,0)*$O6*(1-$V$14)</f>
        <v>1024.4457775511396</v>
      </c>
      <c r="L36" s="2">
        <f>K36*(1+Macro!K71)*(1-L31)+MAX(L$27,0)*$O6*(1-$V$14)</f>
        <v>1162.3212691958445</v>
      </c>
      <c r="M36" s="2">
        <f>L36*(1+Macro!L71)*(1-M31)+MAX(M$27,0)*$O6*(1-$V$14)</f>
        <v>1314.0423430637868</v>
      </c>
      <c r="N36" s="2">
        <f>M36*(1+Macro!M71)*(1-N31)+MAX(N$27,0)*$O6*(1-$V$14)</f>
        <v>1480.8895533272585</v>
      </c>
      <c r="O36" s="2">
        <f>N36*(1+Macro!N71)*(1-O31)+MAX(O$27,0)*$O6*(1-$V$14)</f>
        <v>1664.2589666287734</v>
      </c>
      <c r="P36" s="2">
        <f>O36*(1+Macro!O71)*(1-P31)+MAX(P$27,0)*$O6*(1-$V$14)</f>
        <v>1865.6724973819601</v>
      </c>
      <c r="Q36" s="2">
        <f>P36*(1+Macro!P71)*(1-Q31)+MAX(Q$27,0)*$O6*(1-$V$14)</f>
        <v>2086.789165303177</v>
      </c>
      <c r="R36" s="2">
        <f>Q36*(1+Macro!Q71)*(1-R31)+MAX(R$27,0)*$O6*(1-$V$14)</f>
        <v>2329.4173573907219</v>
      </c>
      <c r="S36" s="2">
        <f>R36*(1+Macro!R71)*(1-S31)+MAX(S$27,0)*$O6*(1-$V$14)</f>
        <v>2595.5281838959036</v>
      </c>
      <c r="T36" s="2">
        <f>S36*(1+Macro!S71)*(1-T31)+MAX(T$27,0)*$O6*(1-$V$14)</f>
        <v>2887.2700258106083</v>
      </c>
      <c r="U36" s="2">
        <f>T36*(1+Macro!T71)*(1-U31)+MAX(U$27,0)*$O6*(1-$V$14)</f>
        <v>3206.984380087511</v>
      </c>
      <c r="V36" s="2">
        <f>U36*(1+Macro!U71)*(1-V31)+MAX(V$27,0)*$O6*(1-$V$14)</f>
        <v>3557.2231182751298</v>
      </c>
      <c r="W36" s="2">
        <f>V36*(1+Macro!V71)*(1-W31)+MAX(W$27,0)*$O6*(1-$V$14)</f>
        <v>3940.7672845595148</v>
      </c>
      <c r="X36" s="2">
        <f>W36*(1+Macro!W71)*(1-X31)+MAX(X$27,0)*$O6*(1-$V$14)</f>
        <v>4360.6475704326804</v>
      </c>
      <c r="Y36" s="2">
        <f>X36*(1+Macro!X71)*(1-Y31)+MAX(Y$27,0)*$O6*(1-$V$14)</f>
        <v>4820.1666154367686</v>
      </c>
      <c r="AA36" s="12">
        <f>IFERROR((E36/D36)-1,"")</f>
        <v>7.2468290072250641E-2</v>
      </c>
      <c r="AB36" s="12">
        <f>IFERROR((J36/D36)^(1/6)-1,"")</f>
        <v>0.14474423196398312</v>
      </c>
      <c r="AC36" s="12">
        <f>IFERROR((O36/D36)^(1/11)-1,"")</f>
        <v>0.13848380440861963</v>
      </c>
      <c r="AD36" s="12">
        <f>IFERROR((T36/D36)^(1/16)-1,"")</f>
        <v>0.13156334333246966</v>
      </c>
      <c r="AE36" s="12">
        <f>IFERROR((Y36/D36)^(1/21)-1,"")</f>
        <v>0.1258926385051784</v>
      </c>
    </row>
    <row r="37" spans="2:42" x14ac:dyDescent="0.2">
      <c r="B37" t="s">
        <v>51</v>
      </c>
      <c r="D37" s="20">
        <f>O7*$D$9+MAX(D$27,0)*O7</f>
        <v>74.924999999999955</v>
      </c>
      <c r="E37" s="2">
        <f>D37*(1+Macro!D75)*(1-E31)+MAX(E$27,0)*$O7*(1-$V$14)</f>
        <v>79.066124999999957</v>
      </c>
      <c r="F37" s="2">
        <f>E37*(1+Macro!E75)*(1-F31)+MAX(F$27,0)*$O7*(1-$V$14)</f>
        <v>91.751879249999945</v>
      </c>
      <c r="G37" s="2">
        <f>F37*(1+Macro!F75)*(1-G31)+MAX(G$27,0)*$O7*(1-$V$14)</f>
        <v>105.57054506249993</v>
      </c>
      <c r="H37" s="2">
        <f>G37*(1+Macro!G75)*(1-H31)+MAX(H$27,0)*$O7*(1-$V$14)</f>
        <v>120.60877350982491</v>
      </c>
      <c r="I37" s="2">
        <f>H37*(1+Macro!H75)*(1-I31)+MAX(I$27,0)*$O7*(1-$V$14)</f>
        <v>136.95950165725114</v>
      </c>
      <c r="J37" s="2">
        <f>I37*(1+Macro!I75)*(1-J31)+MAX(J$27,0)*$O7*(1-$V$14)</f>
        <v>154.72239919504935</v>
      </c>
      <c r="K37" s="2">
        <f>J37*(1+Macro!J75)*(1-K31)+MAX(K$27,0)*$O7*(1-$V$14)</f>
        <v>174.00434653314719</v>
      </c>
      <c r="L37" s="2">
        <f>K37*(1+Macro!K75)*(1-L31)+MAX(L$27,0)*$O7*(1-$V$14)</f>
        <v>194.91994656674518</v>
      </c>
      <c r="M37" s="2">
        <f>L37*(1+Macro!L75)*(1-M31)+MAX(M$27,0)*$O7*(1-$V$14)</f>
        <v>217.59207247598337</v>
      </c>
      <c r="N37" s="2">
        <f>M37*(1+Macro!M75)*(1-N31)+MAX(N$27,0)*$O7*(1-$V$14)</f>
        <v>242.1524540883552</v>
      </c>
      <c r="O37" s="2">
        <f>N37*(1+Macro!N75)*(1-O31)+MAX(O$27,0)*$O7*(1-$V$14)</f>
        <v>268.74230550976466</v>
      </c>
      <c r="P37" s="2">
        <f>O37*(1+Macro!O75)*(1-P31)+MAX(P$27,0)*$O7*(1-$V$14)</f>
        <v>297.51299691972957</v>
      </c>
      <c r="Q37" s="2">
        <f>P37*(1+Macro!P75)*(1-Q31)+MAX(Q$27,0)*$O7*(1-$V$14)</f>
        <v>328.62677362912046</v>
      </c>
      <c r="R37" s="2">
        <f>Q37*(1+Macro!Q75)*(1-R31)+MAX(R$27,0)*$O7*(1-$V$14)</f>
        <v>362.25752571591897</v>
      </c>
      <c r="S37" s="2">
        <f>R37*(1+Macro!R75)*(1-S31)+MAX(S$27,0)*$O7*(1-$V$14)</f>
        <v>398.59161178677618</v>
      </c>
      <c r="T37" s="2">
        <f>S37*(1+Macro!S75)*(1-T31)+MAX(T$27,0)*$O7*(1-$V$14)</f>
        <v>437.82874066071571</v>
      </c>
      <c r="U37" s="2">
        <f>T37*(1+Macro!T75)*(1-U31)+MAX(U$27,0)*$O7*(1-$V$14)</f>
        <v>480.18291503729694</v>
      </c>
      <c r="V37" s="2">
        <f>U37*(1+Macro!U75)*(1-V31)+MAX(V$27,0)*$O7*(1-$V$14)</f>
        <v>525.88344149614875</v>
      </c>
      <c r="W37" s="2">
        <f>V37*(1+Macro!V75)*(1-W31)+MAX(W$27,0)*$O7*(1-$V$14)</f>
        <v>575.17601147930736</v>
      </c>
      <c r="X37" s="2">
        <f>W37*(1+Macro!W75)*(1-X31)+MAX(X$27,0)*$O7*(1-$V$14)</f>
        <v>628.32385823364007</v>
      </c>
      <c r="Y37" s="2">
        <f>X37*(1+Macro!X75)*(1-Y31)+MAX(Y$27,0)*$O7*(1-$V$14)</f>
        <v>685.60899503929943</v>
      </c>
      <c r="AA37" s="12">
        <f>IFERROR((E37/D37)-1,"")</f>
        <v>5.5270270270270316E-2</v>
      </c>
      <c r="AB37" s="12">
        <f>IFERROR((J37/D37)^(1/6)-1,"")</f>
        <v>0.12846408068356996</v>
      </c>
      <c r="AC37" s="12">
        <f>IFERROR((O37/D37)^(1/11)-1,"")</f>
        <v>0.12312505830605458</v>
      </c>
      <c r="AD37" s="12">
        <f>IFERROR((T37/D37)^(1/16)-1,"")</f>
        <v>0.11665070563263158</v>
      </c>
      <c r="AE37" s="12">
        <f>IFERROR((Y37/D37)^(1/21)-1,"")</f>
        <v>0.11117720012058374</v>
      </c>
    </row>
    <row r="38" spans="2:42" x14ac:dyDescent="0.2">
      <c r="B38" s="134" t="s">
        <v>224</v>
      </c>
      <c r="C38" s="134"/>
      <c r="D38" s="176">
        <f t="shared" ref="D38:Y38" si="34">SUM(D34:D37)</f>
        <v>499.5</v>
      </c>
      <c r="E38" s="176">
        <f t="shared" si="34"/>
        <v>588.19535825832588</v>
      </c>
      <c r="F38" s="176">
        <f t="shared" si="34"/>
        <v>711.86287119881467</v>
      </c>
      <c r="G38" s="176">
        <f t="shared" si="34"/>
        <v>857.91451794090028</v>
      </c>
      <c r="H38" s="176">
        <f t="shared" si="34"/>
        <v>1031.1474725773733</v>
      </c>
      <c r="I38" s="176">
        <f t="shared" si="34"/>
        <v>1237.0389814028572</v>
      </c>
      <c r="J38" s="176">
        <f t="shared" si="34"/>
        <v>1481.5856105737296</v>
      </c>
      <c r="K38" s="176">
        <f t="shared" si="34"/>
        <v>1771.0089381616876</v>
      </c>
      <c r="L38" s="176">
        <f t="shared" si="34"/>
        <v>2111.3092565662141</v>
      </c>
      <c r="M38" s="176">
        <f t="shared" si="34"/>
        <v>2507.6667846410533</v>
      </c>
      <c r="N38" s="176">
        <f t="shared" si="34"/>
        <v>2963.716450217918</v>
      </c>
      <c r="O38" s="176">
        <f t="shared" si="34"/>
        <v>3480.7556159068267</v>
      </c>
      <c r="P38" s="176">
        <f t="shared" si="34"/>
        <v>4056.9797278167207</v>
      </c>
      <c r="Q38" s="176">
        <f t="shared" si="34"/>
        <v>4686.8717330005902</v>
      </c>
      <c r="R38" s="176">
        <f t="shared" si="34"/>
        <v>5415.7243553512853</v>
      </c>
      <c r="S38" s="176">
        <f t="shared" si="34"/>
        <v>6260.6426183657941</v>
      </c>
      <c r="T38" s="176">
        <f t="shared" si="34"/>
        <v>7241.9098449679241</v>
      </c>
      <c r="U38" s="176">
        <f t="shared" si="34"/>
        <v>8383.6019058327183</v>
      </c>
      <c r="V38" s="176">
        <f t="shared" si="34"/>
        <v>9714.3224363766858</v>
      </c>
      <c r="W38" s="176">
        <f t="shared" si="34"/>
        <v>11268.083050730205</v>
      </c>
      <c r="X38" s="176">
        <f t="shared" si="34"/>
        <v>13085.357372093329</v>
      </c>
      <c r="Y38" s="176">
        <f t="shared" si="34"/>
        <v>15214.343446890245</v>
      </c>
      <c r="AA38" s="14">
        <f>IFERROR((E38/D38)-1,"")</f>
        <v>0.17756828480145326</v>
      </c>
      <c r="AB38" s="14">
        <f>IFERROR((J38/D38)^(1/6)-1,"")</f>
        <v>0.19866698351881773</v>
      </c>
      <c r="AC38" s="14">
        <f>IFERROR((O38/D38)^(1/11)-1,"")</f>
        <v>0.19302326457761154</v>
      </c>
      <c r="AD38" s="14">
        <f>IFERROR((T38/D38)^(1/16)-1,"")</f>
        <v>0.18190440514666451</v>
      </c>
      <c r="AE38" s="136">
        <f>IFERROR((Y38/D38)^(1/21)-1,"")</f>
        <v>0.17666605501267441</v>
      </c>
    </row>
    <row r="39" spans="2:42" ht="4" customHeight="1" x14ac:dyDescent="0.2">
      <c r="B39" s="59"/>
      <c r="C39" s="59"/>
      <c r="D39" s="23"/>
      <c r="E39" s="23"/>
      <c r="F39" s="23"/>
      <c r="G39" s="23"/>
      <c r="H39" s="23"/>
      <c r="I39" s="23"/>
      <c r="J39" s="23"/>
      <c r="K39" s="23"/>
      <c r="L39" s="23"/>
      <c r="M39" s="23"/>
      <c r="N39" s="23"/>
      <c r="O39" s="23"/>
      <c r="P39" s="23"/>
      <c r="Q39" s="23"/>
      <c r="R39" s="23"/>
      <c r="S39" s="23"/>
      <c r="T39" s="23"/>
      <c r="U39" s="23"/>
      <c r="V39" s="23"/>
      <c r="W39" s="23"/>
      <c r="X39" s="23"/>
      <c r="Y39" s="23"/>
      <c r="Z39" s="3"/>
      <c r="AA39" s="15"/>
      <c r="AB39" s="15"/>
      <c r="AC39" s="15"/>
      <c r="AD39" s="15"/>
      <c r="AE39" s="15"/>
      <c r="AG39" s="12">
        <f t="shared" ref="AG39:AG40" si="35">D35/D$38</f>
        <v>0.05</v>
      </c>
      <c r="AH39" s="12">
        <f>Y35/Y$38</f>
        <v>8.9214548856584985E-3</v>
      </c>
      <c r="AL39" s="58"/>
      <c r="AM39" s="58"/>
      <c r="AN39" s="58"/>
      <c r="AO39" s="58"/>
      <c r="AP39" s="39"/>
    </row>
    <row r="40" spans="2:42" hidden="1" outlineLevel="1" x14ac:dyDescent="0.2">
      <c r="B40" t="s">
        <v>225</v>
      </c>
      <c r="D40" s="2">
        <f>D7</f>
        <v>-150</v>
      </c>
      <c r="E40" s="2">
        <f t="shared" ref="E40:Y40" si="36">D42</f>
        <v>-150</v>
      </c>
      <c r="F40" s="2">
        <f t="shared" si="36"/>
        <v>-150</v>
      </c>
      <c r="G40" s="2">
        <f t="shared" si="36"/>
        <v>-150</v>
      </c>
      <c r="H40" s="2">
        <f t="shared" si="36"/>
        <v>-150</v>
      </c>
      <c r="I40" s="2">
        <f t="shared" si="36"/>
        <v>-150</v>
      </c>
      <c r="J40" s="2">
        <f t="shared" si="36"/>
        <v>-150</v>
      </c>
      <c r="K40" s="2">
        <f t="shared" si="36"/>
        <v>-150</v>
      </c>
      <c r="L40" s="2">
        <f t="shared" si="36"/>
        <v>-150</v>
      </c>
      <c r="M40" s="2">
        <f t="shared" si="36"/>
        <v>-150</v>
      </c>
      <c r="N40" s="2">
        <f t="shared" si="36"/>
        <v>-150</v>
      </c>
      <c r="O40" s="2">
        <f t="shared" si="36"/>
        <v>-150</v>
      </c>
      <c r="P40" s="2">
        <f t="shared" si="36"/>
        <v>-150</v>
      </c>
      <c r="Q40" s="2">
        <f t="shared" si="36"/>
        <v>-150</v>
      </c>
      <c r="R40" s="2">
        <f t="shared" si="36"/>
        <v>-150</v>
      </c>
      <c r="S40" s="2">
        <f t="shared" si="36"/>
        <v>-150</v>
      </c>
      <c r="T40" s="2">
        <f t="shared" si="36"/>
        <v>-150</v>
      </c>
      <c r="U40" s="2">
        <f t="shared" si="36"/>
        <v>-150</v>
      </c>
      <c r="V40" s="2">
        <f t="shared" si="36"/>
        <v>-150</v>
      </c>
      <c r="W40" s="2">
        <f t="shared" si="36"/>
        <v>-150</v>
      </c>
      <c r="X40" s="2">
        <f t="shared" si="36"/>
        <v>-150</v>
      </c>
      <c r="Y40" s="2">
        <f t="shared" si="36"/>
        <v>-150</v>
      </c>
      <c r="AA40" s="12">
        <f>IFERROR((E40/D40)-1,"")</f>
        <v>0</v>
      </c>
      <c r="AB40" s="12">
        <f>IFERROR((J40/D40)^(1/6)-1,"")</f>
        <v>0</v>
      </c>
      <c r="AC40" s="12">
        <f>IFERROR((O40/D40)^(1/11)-1,"")</f>
        <v>0</v>
      </c>
      <c r="AD40" s="12">
        <f>IFERROR((T40/D40)^(1/16)-1,"")</f>
        <v>0</v>
      </c>
      <c r="AE40" s="12">
        <f>IFERROR((Y40/D40)^(1/21)-1,"")</f>
        <v>0</v>
      </c>
      <c r="AG40" s="12">
        <f t="shared" si="35"/>
        <v>0.8</v>
      </c>
      <c r="AH40" s="12">
        <f>Y36/Y$38</f>
        <v>0.31681726078176531</v>
      </c>
      <c r="AL40" s="42"/>
      <c r="AM40" s="42"/>
      <c r="AN40" s="42"/>
      <c r="AO40" s="42"/>
    </row>
    <row r="41" spans="2:42" hidden="1" outlineLevel="1" x14ac:dyDescent="0.2">
      <c r="B41" s="48" t="s">
        <v>163</v>
      </c>
      <c r="C41" s="48"/>
      <c r="D41" s="2">
        <f t="shared" ref="D41:Y41" si="37">-D28-D29</f>
        <v>0</v>
      </c>
      <c r="E41" s="2">
        <f t="shared" si="37"/>
        <v>0</v>
      </c>
      <c r="F41" s="2">
        <f t="shared" si="37"/>
        <v>0</v>
      </c>
      <c r="G41" s="2">
        <f t="shared" si="37"/>
        <v>0</v>
      </c>
      <c r="H41" s="2">
        <f t="shared" si="37"/>
        <v>0</v>
      </c>
      <c r="I41" s="2">
        <f t="shared" si="37"/>
        <v>0</v>
      </c>
      <c r="J41" s="2">
        <f t="shared" si="37"/>
        <v>0</v>
      </c>
      <c r="K41" s="2">
        <f t="shared" si="37"/>
        <v>0</v>
      </c>
      <c r="L41" s="2">
        <f t="shared" si="37"/>
        <v>0</v>
      </c>
      <c r="M41" s="2">
        <f t="shared" si="37"/>
        <v>0</v>
      </c>
      <c r="N41" s="2">
        <f t="shared" si="37"/>
        <v>0</v>
      </c>
      <c r="O41" s="2">
        <f t="shared" si="37"/>
        <v>0</v>
      </c>
      <c r="P41" s="2">
        <f t="shared" si="37"/>
        <v>0</v>
      </c>
      <c r="Q41" s="2">
        <f t="shared" si="37"/>
        <v>0</v>
      </c>
      <c r="R41" s="2">
        <f t="shared" si="37"/>
        <v>0</v>
      </c>
      <c r="S41" s="2">
        <f t="shared" si="37"/>
        <v>0</v>
      </c>
      <c r="T41" s="2">
        <f t="shared" si="37"/>
        <v>0</v>
      </c>
      <c r="U41" s="2">
        <f t="shared" si="37"/>
        <v>0</v>
      </c>
      <c r="V41" s="2">
        <f t="shared" si="37"/>
        <v>0</v>
      </c>
      <c r="W41" s="2">
        <f t="shared" si="37"/>
        <v>0</v>
      </c>
      <c r="X41" s="2">
        <f t="shared" si="37"/>
        <v>0</v>
      </c>
      <c r="Y41" s="2">
        <f t="shared" si="37"/>
        <v>0</v>
      </c>
      <c r="AG41" s="12" t="e">
        <f>#REF!/D$38</f>
        <v>#REF!</v>
      </c>
      <c r="AH41" s="12" t="e">
        <f>#REF!/Y$38</f>
        <v>#REF!</v>
      </c>
      <c r="AL41" s="42"/>
      <c r="AM41" s="42"/>
      <c r="AN41" s="42"/>
      <c r="AO41" s="42"/>
    </row>
    <row r="42" spans="2:42" collapsed="1" x14ac:dyDescent="0.2">
      <c r="B42" s="52" t="s">
        <v>206</v>
      </c>
      <c r="C42" s="52"/>
      <c r="D42" s="53">
        <f t="shared" ref="D42:Y42" si="38">SUM(D40:D41)</f>
        <v>-150</v>
      </c>
      <c r="E42" s="53">
        <f t="shared" si="38"/>
        <v>-150</v>
      </c>
      <c r="F42" s="53">
        <f t="shared" si="38"/>
        <v>-150</v>
      </c>
      <c r="G42" s="53">
        <f t="shared" si="38"/>
        <v>-150</v>
      </c>
      <c r="H42" s="53">
        <f t="shared" si="38"/>
        <v>-150</v>
      </c>
      <c r="I42" s="53">
        <f t="shared" si="38"/>
        <v>-150</v>
      </c>
      <c r="J42" s="53">
        <f t="shared" si="38"/>
        <v>-150</v>
      </c>
      <c r="K42" s="53">
        <f t="shared" si="38"/>
        <v>-150</v>
      </c>
      <c r="L42" s="53">
        <f t="shared" si="38"/>
        <v>-150</v>
      </c>
      <c r="M42" s="53">
        <f t="shared" si="38"/>
        <v>-150</v>
      </c>
      <c r="N42" s="53">
        <f t="shared" si="38"/>
        <v>-150</v>
      </c>
      <c r="O42" s="53">
        <f t="shared" si="38"/>
        <v>-150</v>
      </c>
      <c r="P42" s="53">
        <f t="shared" si="38"/>
        <v>-150</v>
      </c>
      <c r="Q42" s="53">
        <f t="shared" si="38"/>
        <v>-150</v>
      </c>
      <c r="R42" s="53">
        <f t="shared" si="38"/>
        <v>-150</v>
      </c>
      <c r="S42" s="53">
        <f t="shared" si="38"/>
        <v>-150</v>
      </c>
      <c r="T42" s="53">
        <f t="shared" si="38"/>
        <v>-150</v>
      </c>
      <c r="U42" s="53">
        <f t="shared" si="38"/>
        <v>-150</v>
      </c>
      <c r="V42" s="53">
        <f t="shared" si="38"/>
        <v>-150</v>
      </c>
      <c r="W42" s="53">
        <f t="shared" si="38"/>
        <v>-150</v>
      </c>
      <c r="X42" s="53">
        <f t="shared" si="38"/>
        <v>-150</v>
      </c>
      <c r="Y42" s="53">
        <f t="shared" si="38"/>
        <v>-150</v>
      </c>
      <c r="Z42" s="3"/>
      <c r="AA42" s="13">
        <f>IFERROR((E42/D42)-1,"")</f>
        <v>0</v>
      </c>
      <c r="AB42" s="13">
        <f>IFERROR((J42/D42)^(1/6)-1,"")</f>
        <v>0</v>
      </c>
      <c r="AC42" s="13">
        <f>IFERROR((O42/D42)^(1/11)-1,"")</f>
        <v>0</v>
      </c>
      <c r="AD42" s="13">
        <f>IFERROR((T42/D42)^(1/16)-1,"")</f>
        <v>0</v>
      </c>
      <c r="AE42" s="54">
        <f>IFERROR((Y42/D42)^(1/21)-1,"")</f>
        <v>0</v>
      </c>
      <c r="AG42" s="12">
        <f t="shared" ref="AG42:AG43" si="39">D37/D$38</f>
        <v>0.14999999999999991</v>
      </c>
      <c r="AH42" s="12">
        <f>Y37/Y$38</f>
        <v>4.5063331022636759E-2</v>
      </c>
      <c r="AL42" s="42"/>
      <c r="AM42" s="42"/>
      <c r="AN42" s="42"/>
      <c r="AO42" s="42"/>
    </row>
    <row r="43" spans="2:42" x14ac:dyDescent="0.2">
      <c r="B43" s="18" t="s">
        <v>141</v>
      </c>
      <c r="C43" s="18"/>
      <c r="D43" s="70" t="str">
        <f t="shared" ref="D43:Y43" si="40">IFERROR(-D42/D34,"NM")</f>
        <v>NM</v>
      </c>
      <c r="E43" s="70">
        <f t="shared" si="40"/>
        <v>2.7237566051097675</v>
      </c>
      <c r="F43" s="70">
        <f t="shared" si="40"/>
        <v>1.7335658391836848</v>
      </c>
      <c r="G43" s="70">
        <f t="shared" si="40"/>
        <v>1.1455411247654306</v>
      </c>
      <c r="H43" s="70">
        <f t="shared" si="40"/>
        <v>0.78019982089671214</v>
      </c>
      <c r="I43" s="70">
        <f t="shared" si="40"/>
        <v>0.54541551867538696</v>
      </c>
      <c r="J43" s="70">
        <f t="shared" si="40"/>
        <v>0.39041336898328699</v>
      </c>
      <c r="K43" s="70">
        <f t="shared" si="40"/>
        <v>0.28574624050121872</v>
      </c>
      <c r="L43" s="70">
        <f t="shared" si="40"/>
        <v>0.21366979637157987</v>
      </c>
      <c r="M43" s="70">
        <f t="shared" si="40"/>
        <v>0.16316579144123877</v>
      </c>
      <c r="N43" s="70">
        <f t="shared" si="40"/>
        <v>0.12722311655743437</v>
      </c>
      <c r="O43" s="70">
        <f t="shared" si="40"/>
        <v>0.10128777962354601</v>
      </c>
      <c r="P43" s="70">
        <f t="shared" si="40"/>
        <v>8.2349045442111246E-2</v>
      </c>
      <c r="Q43" s="70">
        <f t="shared" si="40"/>
        <v>6.8385784106361328E-2</v>
      </c>
      <c r="R43" s="70">
        <f t="shared" si="40"/>
        <v>5.6818230115342615E-2</v>
      </c>
      <c r="S43" s="70">
        <f t="shared" si="40"/>
        <v>4.7227319918590166E-2</v>
      </c>
      <c r="T43" s="70">
        <f t="shared" si="40"/>
        <v>3.9269584756337989E-2</v>
      </c>
      <c r="U43" s="70">
        <f t="shared" si="40"/>
        <v>3.2662863871034911E-2</v>
      </c>
      <c r="V43" s="70">
        <f t="shared" si="40"/>
        <v>2.7174900204940462E-2</v>
      </c>
      <c r="W43" s="70">
        <f t="shared" si="40"/>
        <v>2.2614186855274349E-2</v>
      </c>
      <c r="X43" s="70">
        <f t="shared" si="40"/>
        <v>1.8822584436970092E-2</v>
      </c>
      <c r="Y43" s="70">
        <f t="shared" si="40"/>
        <v>1.5669341367048527E-2</v>
      </c>
      <c r="AA43" s="12"/>
      <c r="AB43" s="12"/>
      <c r="AC43" s="12"/>
      <c r="AD43" s="12"/>
      <c r="AE43" s="12"/>
      <c r="AG43" s="14">
        <f t="shared" si="39"/>
        <v>1</v>
      </c>
      <c r="AH43" s="14">
        <f>Y38/Y$38</f>
        <v>1</v>
      </c>
      <c r="AL43" s="42"/>
      <c r="AM43" s="42"/>
      <c r="AN43" s="42"/>
      <c r="AO43" s="42"/>
    </row>
    <row r="44" spans="2:42" ht="4" customHeight="1" x14ac:dyDescent="0.2">
      <c r="B44" s="3"/>
      <c r="C44" s="3"/>
      <c r="D44" s="36"/>
      <c r="E44" s="23"/>
      <c r="F44" s="23"/>
      <c r="G44" s="23"/>
      <c r="H44" s="23"/>
      <c r="I44" s="23"/>
      <c r="J44" s="23"/>
      <c r="K44" s="23"/>
      <c r="L44" s="23"/>
      <c r="M44" s="23"/>
      <c r="N44" s="23"/>
      <c r="O44" s="23"/>
      <c r="P44" s="23"/>
      <c r="Q44" s="23"/>
      <c r="R44" s="23"/>
      <c r="S44" s="23"/>
      <c r="T44" s="23"/>
      <c r="U44" s="23"/>
      <c r="V44" s="23"/>
      <c r="W44" s="23"/>
      <c r="X44" s="23"/>
      <c r="Y44" s="23"/>
      <c r="AA44" s="12"/>
      <c r="AB44" s="12"/>
      <c r="AC44" s="12"/>
      <c r="AD44" s="12"/>
      <c r="AE44" s="12"/>
    </row>
    <row r="45" spans="2:42" x14ac:dyDescent="0.2">
      <c r="B45" s="134" t="s">
        <v>226</v>
      </c>
      <c r="C45" s="134"/>
      <c r="D45" s="176">
        <f t="shared" ref="D45:Y45" si="41">D38+D42</f>
        <v>349.5</v>
      </c>
      <c r="E45" s="176">
        <f t="shared" si="41"/>
        <v>438.19535825832588</v>
      </c>
      <c r="F45" s="176">
        <f t="shared" si="41"/>
        <v>561.86287119881467</v>
      </c>
      <c r="G45" s="176">
        <f t="shared" si="41"/>
        <v>707.91451794090028</v>
      </c>
      <c r="H45" s="176">
        <f t="shared" si="41"/>
        <v>881.14747257737326</v>
      </c>
      <c r="I45" s="176">
        <f t="shared" si="41"/>
        <v>1087.0389814028572</v>
      </c>
      <c r="J45" s="176">
        <f t="shared" si="41"/>
        <v>1331.5856105737296</v>
      </c>
      <c r="K45" s="176">
        <f t="shared" si="41"/>
        <v>1621.0089381616876</v>
      </c>
      <c r="L45" s="176">
        <f t="shared" si="41"/>
        <v>1961.3092565662141</v>
      </c>
      <c r="M45" s="176">
        <f t="shared" si="41"/>
        <v>2357.6667846410533</v>
      </c>
      <c r="N45" s="176">
        <f t="shared" si="41"/>
        <v>2813.716450217918</v>
      </c>
      <c r="O45" s="176">
        <f t="shared" si="41"/>
        <v>3330.7556159068267</v>
      </c>
      <c r="P45" s="176">
        <f t="shared" si="41"/>
        <v>3906.9797278167207</v>
      </c>
      <c r="Q45" s="176">
        <f t="shared" si="41"/>
        <v>4536.8717330005902</v>
      </c>
      <c r="R45" s="176">
        <f t="shared" si="41"/>
        <v>5265.7243553512853</v>
      </c>
      <c r="S45" s="176">
        <f t="shared" si="41"/>
        <v>6110.6426183657941</v>
      </c>
      <c r="T45" s="176">
        <f t="shared" si="41"/>
        <v>7091.9098449679241</v>
      </c>
      <c r="U45" s="176">
        <f t="shared" si="41"/>
        <v>8233.6019058327183</v>
      </c>
      <c r="V45" s="176">
        <f t="shared" si="41"/>
        <v>9564.3224363766858</v>
      </c>
      <c r="W45" s="176">
        <f t="shared" si="41"/>
        <v>11118.083050730205</v>
      </c>
      <c r="X45" s="176">
        <f t="shared" si="41"/>
        <v>12935.357372093329</v>
      </c>
      <c r="Y45" s="176">
        <f t="shared" si="41"/>
        <v>15064.343446890245</v>
      </c>
      <c r="AA45" s="14">
        <f>IFERROR((E45/D45)-1,"")</f>
        <v>0.25377784909392243</v>
      </c>
      <c r="AB45" s="14">
        <f>IFERROR((J45/D45)^(1/6)-1,"")</f>
        <v>0.24974186623307482</v>
      </c>
      <c r="AC45" s="14">
        <f>IFERROR((O45/D45)^(1/11)-1,"")</f>
        <v>0.22746379148147944</v>
      </c>
      <c r="AD45" s="14">
        <f>IFERROR((T45/D45)^(1/16)-1,"")</f>
        <v>0.20699994865555316</v>
      </c>
      <c r="AE45" s="136">
        <f>IFERROR((Y45/D45)^(1/21)-1,"")</f>
        <v>0.19628175049707308</v>
      </c>
    </row>
    <row r="47" spans="2:42" ht="16" x14ac:dyDescent="0.2">
      <c r="B47" s="315" t="s">
        <v>114</v>
      </c>
      <c r="C47" s="315"/>
      <c r="D47" s="315"/>
      <c r="E47" s="315"/>
      <c r="F47" s="315"/>
      <c r="G47" s="315"/>
      <c r="H47" s="315"/>
      <c r="I47" s="315"/>
      <c r="J47" s="315"/>
      <c r="K47" s="315"/>
      <c r="L47" s="315"/>
      <c r="M47" s="315"/>
      <c r="N47" s="315"/>
      <c r="O47" s="315"/>
      <c r="P47" s="315"/>
      <c r="Q47" s="315"/>
      <c r="R47" s="315"/>
      <c r="S47" s="315"/>
      <c r="T47" s="315"/>
      <c r="U47" s="315"/>
      <c r="V47" s="315"/>
      <c r="W47" s="315"/>
      <c r="X47" s="315"/>
      <c r="Y47" s="315"/>
      <c r="Z47" s="315"/>
      <c r="AA47" s="315"/>
      <c r="AB47" s="315"/>
      <c r="AC47" s="315"/>
      <c r="AD47" s="315"/>
      <c r="AE47" s="315"/>
      <c r="AF47" s="315"/>
      <c r="AG47" s="315"/>
      <c r="AH47" s="315"/>
      <c r="AI47" s="315"/>
      <c r="AJ47" s="315"/>
      <c r="AK47" s="315"/>
      <c r="AL47" s="315"/>
      <c r="AM47" s="315"/>
      <c r="AN47" s="315"/>
    </row>
    <row r="77" spans="2:40" ht="16" x14ac:dyDescent="0.2">
      <c r="B77" s="315" t="s">
        <v>115</v>
      </c>
      <c r="C77" s="315"/>
      <c r="D77" s="315"/>
      <c r="E77" s="315"/>
      <c r="F77" s="315"/>
      <c r="G77" s="315"/>
      <c r="H77" s="315"/>
      <c r="I77" s="315"/>
      <c r="J77" s="315"/>
      <c r="K77" s="315"/>
      <c r="L77" s="315"/>
      <c r="M77" s="315"/>
      <c r="N77" s="315"/>
      <c r="O77" s="315"/>
      <c r="P77" s="315"/>
      <c r="Q77" s="315"/>
      <c r="R77" s="315"/>
      <c r="S77" s="315"/>
      <c r="T77" s="315"/>
      <c r="U77" s="315"/>
      <c r="V77" s="315"/>
      <c r="W77" s="315"/>
      <c r="X77" s="315"/>
      <c r="Y77" s="315"/>
      <c r="Z77" s="315"/>
      <c r="AA77" s="315"/>
      <c r="AB77" s="315"/>
      <c r="AC77" s="315"/>
      <c r="AD77" s="315"/>
      <c r="AE77" s="315"/>
      <c r="AF77" s="315"/>
      <c r="AG77" s="315"/>
      <c r="AH77" s="315"/>
      <c r="AI77" s="315"/>
      <c r="AJ77" s="315"/>
      <c r="AK77" s="315"/>
      <c r="AL77" s="315"/>
      <c r="AM77" s="315"/>
      <c r="AN77" s="315"/>
    </row>
    <row r="78" spans="2:40" x14ac:dyDescent="0.2">
      <c r="C78" s="2">
        <f>$Y$45/10^3</f>
        <v>15.064343446890245</v>
      </c>
      <c r="D78" s="75">
        <f>$AE$45</f>
        <v>0.19628175049707308</v>
      </c>
      <c r="E78" s="241">
        <f>$Y$21/10^6</f>
        <v>0.71441371043959367</v>
      </c>
    </row>
    <row r="79" spans="2:40" x14ac:dyDescent="0.2">
      <c r="B79" t="s">
        <v>3</v>
      </c>
      <c r="C79" s="2">
        <f t="dataTable" ref="C79:E83" dt2D="0" dtr="0" r1="T1"/>
        <v>6.1183440990582332</v>
      </c>
      <c r="D79" s="75">
        <v>0.14603892215136183</v>
      </c>
      <c r="E79" s="241">
        <v>0</v>
      </c>
    </row>
    <row r="80" spans="2:40" x14ac:dyDescent="0.2">
      <c r="B80" t="s">
        <v>4</v>
      </c>
      <c r="C80" s="2">
        <v>15.064343446890245</v>
      </c>
      <c r="D80" s="75">
        <v>0.19628175049707308</v>
      </c>
      <c r="E80" s="241">
        <v>0.71441371043959367</v>
      </c>
    </row>
    <row r="81" spans="2:5" x14ac:dyDescent="0.2">
      <c r="B81" t="s">
        <v>5</v>
      </c>
      <c r="C81" s="2">
        <v>26.688425226292914</v>
      </c>
      <c r="D81" s="75">
        <v>0.22930812166554393</v>
      </c>
      <c r="E81" s="241">
        <v>1.6541630755592986</v>
      </c>
    </row>
    <row r="82" spans="2:5" x14ac:dyDescent="0.2">
      <c r="B82" t="s">
        <v>6</v>
      </c>
      <c r="C82" s="2">
        <v>41.114688640829357</v>
      </c>
      <c r="D82" s="75">
        <v>0.25486674630773321</v>
      </c>
      <c r="E82" s="241">
        <v>2.8546667491957622</v>
      </c>
    </row>
    <row r="83" spans="2:5" x14ac:dyDescent="0.2">
      <c r="B83" t="s">
        <v>7</v>
      </c>
      <c r="C83" s="2">
        <v>57.734675468702939</v>
      </c>
      <c r="D83" s="75">
        <v>0.27531817774451528</v>
      </c>
      <c r="E83" s="241">
        <v>4.2109715090789113</v>
      </c>
    </row>
  </sheetData>
  <mergeCells count="7">
    <mergeCell ref="AJ3:AN3"/>
    <mergeCell ref="B47:AN47"/>
    <mergeCell ref="B77:AN77"/>
    <mergeCell ref="AA18:AE18"/>
    <mergeCell ref="AG18:AH18"/>
    <mergeCell ref="B3:AE3"/>
    <mergeCell ref="B17:AE17"/>
  </mergeCells>
  <conditionalFormatting sqref="D10:E10 J10 O10 T10">
    <cfRule type="expression" dxfId="1" priority="9">
      <formula>D10=$T$1</formula>
    </cfRule>
  </conditionalFormatting>
  <hyperlinks>
    <hyperlink ref="AJ1" location="SelectedCase" display="SelectedCase" xr:uid="{BFD870DE-7A42-4BFE-A56D-C264F0FD38C9}"/>
  </hyperlinks>
  <pageMargins left="0.7" right="0.7" top="0.75" bottom="0.75" header="0.3" footer="0.3"/>
  <pageSetup scale="55"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6765C4E-CEFD-43AD-91C1-129C8C7A8BBB}">
          <x14:formula1>
            <xm:f>Cover!$A$5:$E$5</xm:f>
          </x14:formula1>
          <xm:sqref>T1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1B969-CE1F-4DD3-A6A9-6AF4AD787578}">
  <sheetPr codeName="Sheet11">
    <tabColor theme="5" tint="0.79998168889431442"/>
    <pageSetUpPr fitToPage="1"/>
  </sheetPr>
  <dimension ref="B1:BI101"/>
  <sheetViews>
    <sheetView showGridLines="0" zoomScale="140" zoomScaleNormal="140" zoomScaleSheetLayoutView="85" workbookViewId="0">
      <pane ySplit="1" topLeftCell="A2" activePane="bottomLeft" state="frozen"/>
      <selection pane="bottomLeft"/>
    </sheetView>
  </sheetViews>
  <sheetFormatPr baseColWidth="10" defaultColWidth="8.83203125" defaultRowHeight="15" outlineLevelRow="1" outlineLevelCol="1" x14ac:dyDescent="0.2"/>
  <cols>
    <col min="1" max="1" width="0.83203125" customWidth="1"/>
    <col min="2" max="5" width="12.33203125" customWidth="1"/>
    <col min="6" max="9" width="14.5" hidden="1" customWidth="1" outlineLevel="1"/>
    <col min="10" max="10" width="12.33203125" customWidth="1" collapsed="1"/>
    <col min="11" max="14" width="14.5" hidden="1" customWidth="1" outlineLevel="1"/>
    <col min="15" max="15" width="12.33203125" customWidth="1" collapsed="1"/>
    <col min="16" max="19" width="14.5" hidden="1" customWidth="1" outlineLevel="1"/>
    <col min="20" max="20" width="12.33203125" customWidth="1" collapsed="1"/>
    <col min="21" max="24" width="14.5" hidden="1" customWidth="1" outlineLevel="1"/>
    <col min="25" max="25" width="12.33203125" customWidth="1" collapsed="1"/>
    <col min="26" max="26" width="1.6640625" customWidth="1"/>
    <col min="27" max="30" width="8.83203125" hidden="1" customWidth="1" outlineLevel="1"/>
    <col min="31" max="31" width="11.6640625" customWidth="1" collapsed="1"/>
    <col min="32" max="32" width="1.6640625" customWidth="1"/>
    <col min="33" max="35" width="8.83203125" hidden="1" customWidth="1" outlineLevel="1"/>
    <col min="36" max="36" width="11.83203125" customWidth="1" collapsed="1"/>
    <col min="37" max="42" width="11.83203125" customWidth="1"/>
  </cols>
  <sheetData>
    <row r="1" spans="2:40" ht="27" x14ac:dyDescent="0.35">
      <c r="B1" s="267" t="s">
        <v>20</v>
      </c>
      <c r="C1" s="267"/>
      <c r="D1" s="294" t="s">
        <v>17</v>
      </c>
      <c r="E1" s="147"/>
      <c r="F1" s="268"/>
      <c r="G1" s="268"/>
      <c r="H1" s="268"/>
      <c r="I1" s="268"/>
      <c r="J1" s="268"/>
      <c r="K1" s="147"/>
      <c r="L1" s="147"/>
      <c r="M1" s="147"/>
      <c r="N1" s="147"/>
      <c r="O1" s="275" t="s">
        <v>85</v>
      </c>
      <c r="P1" s="147"/>
      <c r="Q1" s="147"/>
      <c r="R1" s="147"/>
      <c r="S1" s="147"/>
      <c r="T1" s="197" t="s">
        <v>7</v>
      </c>
      <c r="U1" s="147"/>
      <c r="V1" s="147"/>
      <c r="W1" s="147"/>
      <c r="X1" s="147"/>
      <c r="Y1" s="147"/>
      <c r="Z1" s="147"/>
      <c r="AA1" s="147"/>
      <c r="AB1" s="147"/>
      <c r="AC1" s="147"/>
      <c r="AD1" s="147"/>
      <c r="AE1" s="277" t="s">
        <v>86</v>
      </c>
      <c r="AF1" s="270"/>
      <c r="AG1" s="147"/>
      <c r="AH1" s="147"/>
      <c r="AI1" s="147"/>
      <c r="AJ1" s="276" t="str">
        <f>SelectedCase</f>
        <v>Base</v>
      </c>
      <c r="AK1" s="147"/>
      <c r="AL1" s="147"/>
      <c r="AM1" s="147"/>
      <c r="AN1" s="147"/>
    </row>
    <row r="2" spans="2:40" ht="4" customHeight="1" x14ac:dyDescent="0.2"/>
    <row r="3" spans="2:40" ht="16" x14ac:dyDescent="0.2">
      <c r="B3" s="315" t="s">
        <v>21</v>
      </c>
      <c r="C3" s="315"/>
      <c r="D3" s="315"/>
      <c r="E3" s="315"/>
      <c r="F3" s="315"/>
      <c r="G3" s="315"/>
      <c r="H3" s="315"/>
      <c r="I3" s="315"/>
      <c r="J3" s="315"/>
      <c r="K3" s="315"/>
      <c r="L3" s="315"/>
      <c r="M3" s="315"/>
      <c r="N3" s="315"/>
      <c r="O3" s="315"/>
      <c r="P3" s="315"/>
      <c r="Q3" s="315"/>
      <c r="R3" s="315"/>
      <c r="S3" s="315"/>
      <c r="T3" s="315"/>
      <c r="U3" s="315"/>
      <c r="V3" s="315"/>
      <c r="W3" s="315"/>
      <c r="X3" s="315"/>
      <c r="Y3" s="315"/>
      <c r="Z3" s="315"/>
      <c r="AA3" s="315"/>
      <c r="AB3" s="315"/>
      <c r="AC3" s="315"/>
      <c r="AD3" s="315"/>
      <c r="AE3" s="315"/>
      <c r="AJ3" s="315" t="s">
        <v>87</v>
      </c>
      <c r="AK3" s="315"/>
      <c r="AL3" s="315"/>
      <c r="AM3" s="315"/>
      <c r="AN3" s="315"/>
    </row>
    <row r="4" spans="2:40" ht="16" x14ac:dyDescent="0.2">
      <c r="B4" t="s">
        <v>202</v>
      </c>
      <c r="D4" s="242">
        <v>4.9000000000000004</v>
      </c>
      <c r="J4" s="183" t="s">
        <v>233</v>
      </c>
      <c r="Y4" s="183" t="s">
        <v>201</v>
      </c>
      <c r="AJ4" s="185" t="s">
        <v>35</v>
      </c>
      <c r="AK4" s="195" t="s">
        <v>91</v>
      </c>
      <c r="AL4" s="195" t="s">
        <v>92</v>
      </c>
      <c r="AM4" s="195" t="s">
        <v>93</v>
      </c>
      <c r="AN4" s="195" t="s">
        <v>94</v>
      </c>
    </row>
    <row r="5" spans="2:40" x14ac:dyDescent="0.2">
      <c r="B5" t="s">
        <v>204</v>
      </c>
      <c r="D5" s="242">
        <v>-5.9</v>
      </c>
      <c r="J5" t="s">
        <v>234</v>
      </c>
      <c r="O5" s="243">
        <v>0</v>
      </c>
      <c r="Y5" t="s">
        <v>203</v>
      </c>
      <c r="AE5" s="104">
        <v>7.0000000000000007E-2</v>
      </c>
      <c r="AJ5" s="11">
        <v>2024</v>
      </c>
      <c r="AK5" s="236">
        <f>HLOOKUP($AJ5,$D$16:$Y$51,29)</f>
        <v>0.6</v>
      </c>
      <c r="AL5" s="236">
        <f>HLOOKUP($AJ5,$D$16:$Y$51,33)</f>
        <v>-36</v>
      </c>
      <c r="AM5" s="236">
        <f>HLOOKUP($AJ5,$D$16:$Y$51,36)</f>
        <v>-35.4</v>
      </c>
      <c r="AN5" s="284">
        <f>HLOOKUP($AJ5,$D$16:$Y$51,9)</f>
        <v>0</v>
      </c>
    </row>
    <row r="6" spans="2:40" x14ac:dyDescent="0.2">
      <c r="B6" t="s">
        <v>206</v>
      </c>
      <c r="D6" s="242">
        <v>-34</v>
      </c>
      <c r="J6" t="s">
        <v>235</v>
      </c>
      <c r="O6" s="242">
        <v>0.6</v>
      </c>
      <c r="Y6" t="s">
        <v>205</v>
      </c>
      <c r="AE6" s="104">
        <v>0.04</v>
      </c>
      <c r="AJ6" s="188">
        <f t="shared" ref="AJ6:AJ7" si="0">AJ5+1</f>
        <v>2025</v>
      </c>
      <c r="AK6" s="237">
        <f t="shared" ref="AK6:AK39" si="1">HLOOKUP($AJ6,$D$16:$Y$51,29)</f>
        <v>0.7166646191646191</v>
      </c>
      <c r="AL6" s="237">
        <f t="shared" ref="AL6:AL39" si="2">HLOOKUP($AJ6,$D$16:$Y$51,33)</f>
        <v>-38.250500000000002</v>
      </c>
      <c r="AM6" s="237">
        <f t="shared" ref="AM6:AM39" si="3">HLOOKUP($AJ6,$D$16:$Y$51,36)</f>
        <v>-37.533835380835384</v>
      </c>
      <c r="AN6" s="285">
        <f t="shared" ref="AN6:AN39" si="4">HLOOKUP($AJ6,$D$16:$Y$51,9)</f>
        <v>1</v>
      </c>
    </row>
    <row r="7" spans="2:40" x14ac:dyDescent="0.2">
      <c r="B7" t="s">
        <v>207</v>
      </c>
      <c r="D7" s="104">
        <v>3.5000000000000003E-2</v>
      </c>
      <c r="AJ7" s="11">
        <f t="shared" si="0"/>
        <v>2026</v>
      </c>
      <c r="AK7" s="236">
        <f t="shared" si="1"/>
        <v>0.926566376042113</v>
      </c>
      <c r="AL7" s="236">
        <f t="shared" si="2"/>
        <v>-40.504510000000003</v>
      </c>
      <c r="AM7" s="236">
        <f t="shared" si="3"/>
        <v>-39.577943623957893</v>
      </c>
      <c r="AN7" s="284">
        <f t="shared" si="4"/>
        <v>2</v>
      </c>
    </row>
    <row r="8" spans="2:40" x14ac:dyDescent="0.2">
      <c r="D8" s="35" t="s">
        <v>3</v>
      </c>
      <c r="E8" s="35" t="s">
        <v>4</v>
      </c>
      <c r="J8" s="35" t="s">
        <v>5</v>
      </c>
      <c r="O8" s="35" t="s">
        <v>6</v>
      </c>
      <c r="T8" s="35" t="s">
        <v>7</v>
      </c>
      <c r="V8" t="str">
        <f>T1</f>
        <v>Triple Maxi</v>
      </c>
      <c r="AJ8" s="11">
        <f>AJ7+1</f>
        <v>2027</v>
      </c>
      <c r="AK8" s="236">
        <f t="shared" si="1"/>
        <v>1.2849341979427207</v>
      </c>
      <c r="AL8" s="236">
        <f t="shared" si="2"/>
        <v>-42.764682875000005</v>
      </c>
      <c r="AM8" s="236">
        <f t="shared" si="3"/>
        <v>-41.479748677057287</v>
      </c>
      <c r="AN8" s="284">
        <f t="shared" si="4"/>
        <v>3</v>
      </c>
    </row>
    <row r="9" spans="2:40" x14ac:dyDescent="0.2">
      <c r="B9" t="s">
        <v>278</v>
      </c>
      <c r="D9" s="184">
        <v>0</v>
      </c>
      <c r="E9" s="184">
        <v>0.5</v>
      </c>
      <c r="F9" s="244"/>
      <c r="G9" s="244"/>
      <c r="H9" s="244"/>
      <c r="I9" s="244"/>
      <c r="J9" s="184">
        <v>1</v>
      </c>
      <c r="K9" s="244"/>
      <c r="L9" s="244"/>
      <c r="M9" s="244"/>
      <c r="N9" s="244"/>
      <c r="O9" s="184">
        <v>2</v>
      </c>
      <c r="P9" s="244"/>
      <c r="Q9" s="244"/>
      <c r="R9" s="244"/>
      <c r="S9" s="244"/>
      <c r="T9" s="184">
        <v>4</v>
      </c>
      <c r="V9" s="68">
        <f>INDEX($B$8:$T$13,MATCH(B9,$B$8:$B$13,0),MATCH($V$8,$B$8:$T$8,0))</f>
        <v>4</v>
      </c>
      <c r="AJ9" s="11">
        <f>AJ8+1</f>
        <v>2028</v>
      </c>
      <c r="AK9" s="236">
        <f t="shared" si="1"/>
        <v>1.8690204491976479</v>
      </c>
      <c r="AL9" s="236">
        <f t="shared" si="2"/>
        <v>-45.037864408750004</v>
      </c>
      <c r="AM9" s="236">
        <f t="shared" si="3"/>
        <v>-43.168843959552355</v>
      </c>
      <c r="AN9" s="284">
        <f t="shared" si="4"/>
        <v>4</v>
      </c>
    </row>
    <row r="10" spans="2:40" x14ac:dyDescent="0.2">
      <c r="B10" t="s">
        <v>279</v>
      </c>
      <c r="D10" s="232">
        <v>0</v>
      </c>
      <c r="E10" s="232">
        <v>1</v>
      </c>
      <c r="J10" s="232">
        <v>2</v>
      </c>
      <c r="O10" s="232">
        <v>4</v>
      </c>
      <c r="T10" s="232">
        <v>4</v>
      </c>
      <c r="V10" s="81">
        <f>INDEX($B$8:$T$13,MATCH(B10,$B$8:$B$13,0),MATCH($V$8,$B$8:$T$8,0))</f>
        <v>4</v>
      </c>
      <c r="AJ10" s="11">
        <f>AJ9+1</f>
        <v>2029</v>
      </c>
      <c r="AK10" s="236">
        <f t="shared" si="1"/>
        <v>2.366197576106909</v>
      </c>
      <c r="AL10" s="236">
        <f t="shared" si="2"/>
        <v>-46.91993830678625</v>
      </c>
      <c r="AM10" s="236">
        <f t="shared" si="3"/>
        <v>-44.553740730679344</v>
      </c>
      <c r="AN10" s="284">
        <f t="shared" si="4"/>
        <v>4</v>
      </c>
    </row>
    <row r="11" spans="2:40" x14ac:dyDescent="0.2">
      <c r="B11" t="s">
        <v>229</v>
      </c>
      <c r="D11" s="104"/>
      <c r="E11" s="104"/>
      <c r="F11" s="104"/>
      <c r="G11" s="104"/>
      <c r="H11" s="104"/>
      <c r="I11" s="104"/>
      <c r="J11" s="104"/>
      <c r="K11" s="104"/>
      <c r="L11" s="104"/>
      <c r="M11" s="104"/>
      <c r="N11" s="104"/>
      <c r="O11" s="104">
        <v>0.5</v>
      </c>
      <c r="P11" s="104"/>
      <c r="Q11" s="104"/>
      <c r="R11" s="104"/>
      <c r="S11" s="104"/>
      <c r="T11" s="104">
        <v>0.75</v>
      </c>
      <c r="V11" s="19">
        <f>INDEX($B$8:$T$13,MATCH(B11,$B$8:$B$13,0),MATCH($V$8,$B$8:$T$8,0))</f>
        <v>0.75</v>
      </c>
      <c r="AJ11" s="188">
        <f>AJ10+1</f>
        <v>2030</v>
      </c>
      <c r="AK11" s="237">
        <f t="shared" si="1"/>
        <v>3.0126451665868283</v>
      </c>
      <c r="AL11" s="237">
        <f t="shared" si="2"/>
        <v>-48.67393963259007</v>
      </c>
      <c r="AM11" s="237">
        <f t="shared" si="3"/>
        <v>-45.661294466003241</v>
      </c>
      <c r="AN11" s="285">
        <f t="shared" si="4"/>
        <v>4</v>
      </c>
    </row>
    <row r="12" spans="2:40" hidden="1" outlineLevel="1" x14ac:dyDescent="0.2">
      <c r="B12" t="s">
        <v>236</v>
      </c>
      <c r="C12" s="84"/>
      <c r="D12" s="104"/>
      <c r="E12" s="104"/>
      <c r="F12" s="104"/>
      <c r="G12" s="104"/>
      <c r="H12" s="104"/>
      <c r="I12" s="104"/>
      <c r="J12" s="104"/>
      <c r="K12" s="104"/>
      <c r="L12" s="104"/>
      <c r="M12" s="104"/>
      <c r="N12" s="104"/>
      <c r="O12" s="104"/>
      <c r="P12" s="104"/>
      <c r="Q12" s="104"/>
      <c r="R12" s="104"/>
      <c r="S12" s="104"/>
      <c r="T12" s="104">
        <v>0</v>
      </c>
      <c r="V12" s="19">
        <f>INDEX($B$8:$T$13,MATCH(B12,$B$8:$B$13,0),MATCH($V$8,$B$8:$T$8,0))</f>
        <v>0</v>
      </c>
      <c r="AK12" t="e">
        <f t="shared" si="1"/>
        <v>#N/A</v>
      </c>
      <c r="AL12" t="e">
        <f t="shared" si="2"/>
        <v>#N/A</v>
      </c>
      <c r="AM12" t="e">
        <f t="shared" si="3"/>
        <v>#N/A</v>
      </c>
      <c r="AN12" s="286" t="e">
        <f t="shared" si="4"/>
        <v>#N/A</v>
      </c>
    </row>
    <row r="13" spans="2:40" collapsed="1" x14ac:dyDescent="0.2">
      <c r="AJ13" s="11">
        <f>AJ11+1</f>
        <v>2031</v>
      </c>
      <c r="AK13" s="236">
        <f t="shared" si="1"/>
        <v>3.836614888209418</v>
      </c>
      <c r="AL13" s="236">
        <f t="shared" si="2"/>
        <v>-50.27319578247787</v>
      </c>
      <c r="AM13" s="236">
        <f t="shared" si="3"/>
        <v>-46.436580894268452</v>
      </c>
      <c r="AN13" s="284">
        <f t="shared" si="4"/>
        <v>4</v>
      </c>
    </row>
    <row r="14" spans="2:40" ht="16" x14ac:dyDescent="0.2">
      <c r="B14" s="315" t="s">
        <v>55</v>
      </c>
      <c r="C14" s="315"/>
      <c r="D14" s="315"/>
      <c r="E14" s="315"/>
      <c r="F14" s="315"/>
      <c r="G14" s="315"/>
      <c r="H14" s="315"/>
      <c r="I14" s="315"/>
      <c r="J14" s="315"/>
      <c r="K14" s="315"/>
      <c r="L14" s="315"/>
      <c r="M14" s="315"/>
      <c r="N14" s="315"/>
      <c r="O14" s="315"/>
      <c r="P14" s="315"/>
      <c r="Q14" s="315"/>
      <c r="R14" s="315"/>
      <c r="S14" s="315"/>
      <c r="T14" s="315"/>
      <c r="U14" s="315"/>
      <c r="V14" s="315"/>
      <c r="W14" s="315"/>
      <c r="X14" s="315"/>
      <c r="Y14" s="315"/>
      <c r="Z14" s="315"/>
      <c r="AA14" s="315"/>
      <c r="AB14" s="315"/>
      <c r="AC14" s="315"/>
      <c r="AD14" s="315"/>
      <c r="AE14" s="315"/>
      <c r="AJ14" s="11">
        <f>AJ13+1</f>
        <v>2032</v>
      </c>
      <c r="AK14" s="236">
        <f t="shared" si="1"/>
        <v>4.8643904809339391</v>
      </c>
      <c r="AL14" s="236">
        <f t="shared" si="2"/>
        <v>-51.688202751079302</v>
      </c>
      <c r="AM14" s="236">
        <f t="shared" si="3"/>
        <v>-46.823812270145361</v>
      </c>
      <c r="AN14" s="284">
        <f t="shared" si="4"/>
        <v>4</v>
      </c>
    </row>
    <row r="15" spans="2:40" x14ac:dyDescent="0.2">
      <c r="B15" s="211"/>
      <c r="C15" s="211"/>
      <c r="D15" s="144"/>
      <c r="E15" s="144"/>
      <c r="F15" s="144"/>
      <c r="G15" s="144"/>
      <c r="H15" s="144"/>
      <c r="I15" s="144"/>
      <c r="J15" s="144"/>
      <c r="K15" s="144"/>
      <c r="L15" s="144"/>
      <c r="M15" s="144"/>
      <c r="N15" s="144"/>
      <c r="O15" s="144"/>
      <c r="P15" s="144"/>
      <c r="Q15" s="144"/>
      <c r="R15" s="144"/>
      <c r="S15" s="144"/>
      <c r="T15" s="144"/>
      <c r="U15" s="144"/>
      <c r="V15" s="144"/>
      <c r="W15" s="144"/>
      <c r="X15" s="144"/>
      <c r="Y15" s="144"/>
      <c r="AA15" s="316" t="s">
        <v>56</v>
      </c>
      <c r="AB15" s="316"/>
      <c r="AC15" s="316"/>
      <c r="AD15" s="316"/>
      <c r="AE15" s="316"/>
      <c r="AG15" s="320" t="s">
        <v>105</v>
      </c>
      <c r="AH15" s="320"/>
      <c r="AJ15" s="11">
        <f>AJ14+1</f>
        <v>2033</v>
      </c>
      <c r="AK15" s="236">
        <f t="shared" si="1"/>
        <v>6.1168742394868811</v>
      </c>
      <c r="AL15" s="236">
        <f t="shared" si="2"/>
        <v>-52.886379399795075</v>
      </c>
      <c r="AM15" s="236">
        <f t="shared" si="3"/>
        <v>-46.769505160308192</v>
      </c>
      <c r="AN15" s="284">
        <f t="shared" si="4"/>
        <v>4</v>
      </c>
    </row>
    <row r="16" spans="2:40" x14ac:dyDescent="0.2">
      <c r="B16" s="175"/>
      <c r="C16" s="211"/>
      <c r="D16" s="128">
        <f>Macro!C17</f>
        <v>2024</v>
      </c>
      <c r="E16" s="128">
        <f>Macro!D17</f>
        <v>2025</v>
      </c>
      <c r="F16" s="128">
        <f>Macro!E17</f>
        <v>2026</v>
      </c>
      <c r="G16" s="128">
        <f>Macro!F17</f>
        <v>2027</v>
      </c>
      <c r="H16" s="128">
        <f>Macro!G17</f>
        <v>2028</v>
      </c>
      <c r="I16" s="128">
        <f>Macro!H17</f>
        <v>2029</v>
      </c>
      <c r="J16" s="128">
        <f>Macro!I17</f>
        <v>2030</v>
      </c>
      <c r="K16" s="128">
        <f>Macro!J17</f>
        <v>2031</v>
      </c>
      <c r="L16" s="128">
        <f>Macro!K17</f>
        <v>2032</v>
      </c>
      <c r="M16" s="128">
        <f>Macro!L17</f>
        <v>2033</v>
      </c>
      <c r="N16" s="128">
        <f>Macro!M17</f>
        <v>2034</v>
      </c>
      <c r="O16" s="128">
        <f>Macro!N17</f>
        <v>2035</v>
      </c>
      <c r="P16" s="128">
        <f>Macro!O17</f>
        <v>2036</v>
      </c>
      <c r="Q16" s="128">
        <f>Macro!P17</f>
        <v>2037</v>
      </c>
      <c r="R16" s="128">
        <f>Macro!Q17</f>
        <v>2038</v>
      </c>
      <c r="S16" s="128">
        <f>Macro!R17</f>
        <v>2039</v>
      </c>
      <c r="T16" s="128">
        <f>Macro!S17</f>
        <v>2040</v>
      </c>
      <c r="U16" s="128">
        <f>Macro!T17</f>
        <v>2041</v>
      </c>
      <c r="V16" s="128">
        <f>Macro!U17</f>
        <v>2042</v>
      </c>
      <c r="W16" s="128">
        <f>Macro!V17</f>
        <v>2043</v>
      </c>
      <c r="X16" s="128">
        <f>Macro!W17</f>
        <v>2044</v>
      </c>
      <c r="Y16" s="128">
        <f>Macro!X17</f>
        <v>2045</v>
      </c>
      <c r="Z16" s="11"/>
      <c r="AA16" s="128" t="s">
        <v>59</v>
      </c>
      <c r="AB16" s="128" t="s">
        <v>60</v>
      </c>
      <c r="AC16" s="128" t="s">
        <v>61</v>
      </c>
      <c r="AD16" s="128" t="s">
        <v>62</v>
      </c>
      <c r="AE16" s="128" t="s">
        <v>63</v>
      </c>
      <c r="AF16" s="10"/>
      <c r="AG16" s="10">
        <f>D16</f>
        <v>2024</v>
      </c>
      <c r="AH16" s="10">
        <f>Y16</f>
        <v>2045</v>
      </c>
      <c r="AJ16" s="11">
        <f>AJ15+1</f>
        <v>2034</v>
      </c>
      <c r="AK16" s="236">
        <f t="shared" si="1"/>
        <v>7.6054808523769184</v>
      </c>
      <c r="AL16" s="236">
        <f t="shared" si="2"/>
        <v>-53.831802309087259</v>
      </c>
      <c r="AM16" s="236">
        <f t="shared" si="3"/>
        <v>-46.226321456710338</v>
      </c>
      <c r="AN16" s="284">
        <f t="shared" si="4"/>
        <v>4</v>
      </c>
    </row>
    <row r="17" spans="2:61" hidden="1" outlineLevel="1" x14ac:dyDescent="0.2">
      <c r="B17" t="s">
        <v>237</v>
      </c>
      <c r="D17" s="245">
        <f>O5</f>
        <v>0</v>
      </c>
      <c r="E17" s="245">
        <f>D24</f>
        <v>0</v>
      </c>
      <c r="F17" s="245">
        <f t="shared" ref="F17:Y17" si="5">E24</f>
        <v>1</v>
      </c>
      <c r="G17" s="245">
        <f t="shared" si="5"/>
        <v>2</v>
      </c>
      <c r="H17" s="245">
        <f t="shared" si="5"/>
        <v>3</v>
      </c>
      <c r="I17" s="245">
        <f t="shared" si="5"/>
        <v>4</v>
      </c>
      <c r="J17" s="245">
        <f t="shared" si="5"/>
        <v>4</v>
      </c>
      <c r="K17" s="245">
        <f>J24</f>
        <v>4</v>
      </c>
      <c r="L17" s="245">
        <f t="shared" si="5"/>
        <v>4</v>
      </c>
      <c r="M17" s="245">
        <f t="shared" si="5"/>
        <v>4</v>
      </c>
      <c r="N17" s="245">
        <f t="shared" si="5"/>
        <v>4</v>
      </c>
      <c r="O17" s="245">
        <f t="shared" si="5"/>
        <v>4</v>
      </c>
      <c r="P17" s="245">
        <f t="shared" si="5"/>
        <v>4</v>
      </c>
      <c r="Q17" s="245">
        <f t="shared" si="5"/>
        <v>4</v>
      </c>
      <c r="R17" s="245">
        <f t="shared" si="5"/>
        <v>4.015939109838631</v>
      </c>
      <c r="S17" s="245">
        <f t="shared" si="5"/>
        <v>4.1163036328454785</v>
      </c>
      <c r="T17" s="245">
        <f t="shared" si="5"/>
        <v>4.2801872488098116</v>
      </c>
      <c r="U17" s="245">
        <f t="shared" si="5"/>
        <v>4.4905600741187053</v>
      </c>
      <c r="V17" s="245">
        <f t="shared" si="5"/>
        <v>4.7336268949967542</v>
      </c>
      <c r="W17" s="245">
        <f t="shared" si="5"/>
        <v>4.9982856076968396</v>
      </c>
      <c r="X17" s="245">
        <f t="shared" si="5"/>
        <v>5.275670742611406</v>
      </c>
      <c r="Y17" s="245">
        <f t="shared" si="5"/>
        <v>5.5587691846725331</v>
      </c>
      <c r="AG17" s="14">
        <f t="shared" ref="AG17" si="6">D44/D$44</f>
        <v>1</v>
      </c>
      <c r="AH17" s="14">
        <f>Y44/Y$44</f>
        <v>1</v>
      </c>
      <c r="AK17" t="e">
        <f t="shared" si="1"/>
        <v>#N/A</v>
      </c>
      <c r="AL17" t="e">
        <f t="shared" si="2"/>
        <v>#N/A</v>
      </c>
      <c r="AM17" t="e">
        <f t="shared" si="3"/>
        <v>#N/A</v>
      </c>
      <c r="AN17" s="286" t="e">
        <f t="shared" si="4"/>
        <v>#N/A</v>
      </c>
    </row>
    <row r="18" spans="2:61" hidden="1" outlineLevel="1" x14ac:dyDescent="0.2">
      <c r="B18" s="217" t="s">
        <v>238</v>
      </c>
      <c r="C18" s="217"/>
      <c r="D18" s="245"/>
      <c r="E18" s="245">
        <f t="shared" ref="E18:Y18" si="7">+IF(E16&lt;=$D$16+$V$10,$V$9/$V$10,0)</f>
        <v>1</v>
      </c>
      <c r="F18" s="245">
        <f t="shared" si="7"/>
        <v>1</v>
      </c>
      <c r="G18" s="245">
        <f t="shared" si="7"/>
        <v>1</v>
      </c>
      <c r="H18" s="245">
        <f t="shared" si="7"/>
        <v>1</v>
      </c>
      <c r="I18" s="245">
        <f t="shared" si="7"/>
        <v>0</v>
      </c>
      <c r="J18" s="245">
        <f t="shared" si="7"/>
        <v>0</v>
      </c>
      <c r="K18" s="245">
        <f t="shared" si="7"/>
        <v>0</v>
      </c>
      <c r="L18" s="245">
        <f t="shared" si="7"/>
        <v>0</v>
      </c>
      <c r="M18" s="245">
        <f t="shared" si="7"/>
        <v>0</v>
      </c>
      <c r="N18" s="245">
        <f t="shared" si="7"/>
        <v>0</v>
      </c>
      <c r="O18" s="245">
        <f t="shared" si="7"/>
        <v>0</v>
      </c>
      <c r="P18" s="245">
        <f t="shared" si="7"/>
        <v>0</v>
      </c>
      <c r="Q18" s="245">
        <f t="shared" si="7"/>
        <v>0</v>
      </c>
      <c r="R18" s="245">
        <f t="shared" si="7"/>
        <v>0</v>
      </c>
      <c r="S18" s="245">
        <f t="shared" si="7"/>
        <v>0</v>
      </c>
      <c r="T18" s="245">
        <f t="shared" si="7"/>
        <v>0</v>
      </c>
      <c r="U18" s="245">
        <f t="shared" si="7"/>
        <v>0</v>
      </c>
      <c r="V18" s="245">
        <f t="shared" si="7"/>
        <v>0</v>
      </c>
      <c r="W18" s="245">
        <f t="shared" si="7"/>
        <v>0</v>
      </c>
      <c r="X18" s="245">
        <f t="shared" si="7"/>
        <v>0</v>
      </c>
      <c r="Y18" s="245">
        <f t="shared" si="7"/>
        <v>0</v>
      </c>
      <c r="AK18" t="e">
        <f t="shared" si="1"/>
        <v>#N/A</v>
      </c>
      <c r="AL18" t="e">
        <f t="shared" si="2"/>
        <v>#N/A</v>
      </c>
      <c r="AM18" t="e">
        <f t="shared" si="3"/>
        <v>#N/A</v>
      </c>
      <c r="AN18" s="286" t="e">
        <f t="shared" si="4"/>
        <v>#N/A</v>
      </c>
      <c r="AO18" s="42"/>
    </row>
    <row r="19" spans="2:61" hidden="1" outlineLevel="1" x14ac:dyDescent="0.2">
      <c r="B19" s="217" t="s">
        <v>239</v>
      </c>
      <c r="C19" s="217"/>
      <c r="E19" s="245">
        <f t="shared" ref="E19:Y19" si="8">MAX(E33*$V$11,0)/E22*10^3</f>
        <v>0</v>
      </c>
      <c r="F19" s="245">
        <f t="shared" si="8"/>
        <v>0</v>
      </c>
      <c r="G19" s="245">
        <f t="shared" si="8"/>
        <v>0</v>
      </c>
      <c r="H19" s="245">
        <f t="shared" si="8"/>
        <v>0</v>
      </c>
      <c r="I19" s="245">
        <f t="shared" si="8"/>
        <v>0</v>
      </c>
      <c r="J19" s="245">
        <f t="shared" si="8"/>
        <v>0</v>
      </c>
      <c r="K19" s="245">
        <f t="shared" si="8"/>
        <v>0</v>
      </c>
      <c r="L19" s="245">
        <f t="shared" si="8"/>
        <v>0</v>
      </c>
      <c r="M19" s="245">
        <f t="shared" si="8"/>
        <v>0</v>
      </c>
      <c r="N19" s="245">
        <f t="shared" si="8"/>
        <v>0</v>
      </c>
      <c r="O19" s="245">
        <f t="shared" si="8"/>
        <v>0</v>
      </c>
      <c r="P19" s="245">
        <f t="shared" si="8"/>
        <v>0</v>
      </c>
      <c r="Q19" s="245">
        <f t="shared" si="8"/>
        <v>1.5939109838631154E-2</v>
      </c>
      <c r="R19" s="245">
        <f t="shared" si="8"/>
        <v>0.1003645230068473</v>
      </c>
      <c r="S19" s="245">
        <f t="shared" si="8"/>
        <v>0.16388361596433271</v>
      </c>
      <c r="T19" s="245">
        <f t="shared" si="8"/>
        <v>0.21037282530889378</v>
      </c>
      <c r="U19" s="245">
        <f t="shared" si="8"/>
        <v>0.24306682087804857</v>
      </c>
      <c r="V19" s="245">
        <f t="shared" si="8"/>
        <v>0.26465871270008551</v>
      </c>
      <c r="W19" s="245">
        <f t="shared" si="8"/>
        <v>0.27738513491456651</v>
      </c>
      <c r="X19" s="245">
        <f t="shared" si="8"/>
        <v>0.28309844206112678</v>
      </c>
      <c r="Y19" s="245">
        <f t="shared" si="8"/>
        <v>0.28332792687934372</v>
      </c>
      <c r="AK19" t="e">
        <f t="shared" si="1"/>
        <v>#N/A</v>
      </c>
      <c r="AL19" t="e">
        <f t="shared" si="2"/>
        <v>#N/A</v>
      </c>
      <c r="AM19" t="e">
        <f t="shared" si="3"/>
        <v>#N/A</v>
      </c>
      <c r="AN19" s="286" t="e">
        <f t="shared" si="4"/>
        <v>#N/A</v>
      </c>
      <c r="AO19" s="42"/>
      <c r="AQ19" s="2"/>
      <c r="AR19" s="2"/>
      <c r="AS19" s="2"/>
      <c r="AT19" s="2"/>
      <c r="AU19" s="2"/>
      <c r="AV19" s="2"/>
      <c r="AW19" s="2"/>
      <c r="AX19" s="2"/>
      <c r="AY19" s="2"/>
      <c r="AZ19" s="2"/>
      <c r="BA19" s="2"/>
      <c r="BB19" s="2"/>
      <c r="BC19" s="2"/>
      <c r="BD19" s="2"/>
      <c r="BE19" s="2"/>
      <c r="BF19" s="2"/>
      <c r="BG19" s="2"/>
      <c r="BH19" s="2"/>
      <c r="BI19" s="2"/>
    </row>
    <row r="20" spans="2:61" hidden="1" outlineLevel="1" x14ac:dyDescent="0.2">
      <c r="B20" s="217" t="s">
        <v>240</v>
      </c>
      <c r="C20" s="217"/>
      <c r="E20" s="245">
        <f t="shared" ref="E20:Y20" si="9">IF(E19&gt;0,0,E28*$V$12/E22*10^3)</f>
        <v>0</v>
      </c>
      <c r="F20" s="245">
        <f t="shared" si="9"/>
        <v>0</v>
      </c>
      <c r="G20" s="245">
        <f t="shared" si="9"/>
        <v>0</v>
      </c>
      <c r="H20" s="245">
        <f t="shared" si="9"/>
        <v>0</v>
      </c>
      <c r="I20" s="245">
        <f t="shared" si="9"/>
        <v>0</v>
      </c>
      <c r="J20" s="245">
        <f t="shared" si="9"/>
        <v>0</v>
      </c>
      <c r="K20" s="245">
        <f t="shared" si="9"/>
        <v>0</v>
      </c>
      <c r="L20" s="245">
        <f t="shared" si="9"/>
        <v>0</v>
      </c>
      <c r="M20" s="245">
        <f t="shared" si="9"/>
        <v>0</v>
      </c>
      <c r="N20" s="245">
        <f t="shared" si="9"/>
        <v>0</v>
      </c>
      <c r="O20" s="245">
        <f t="shared" si="9"/>
        <v>0</v>
      </c>
      <c r="P20" s="245">
        <f t="shared" si="9"/>
        <v>0</v>
      </c>
      <c r="Q20" s="245">
        <f t="shared" si="9"/>
        <v>0</v>
      </c>
      <c r="R20" s="245">
        <f t="shared" si="9"/>
        <v>0</v>
      </c>
      <c r="S20" s="245">
        <f t="shared" si="9"/>
        <v>0</v>
      </c>
      <c r="T20" s="245">
        <f t="shared" si="9"/>
        <v>0</v>
      </c>
      <c r="U20" s="245">
        <f t="shared" si="9"/>
        <v>0</v>
      </c>
      <c r="V20" s="245">
        <f t="shared" si="9"/>
        <v>0</v>
      </c>
      <c r="W20" s="245">
        <f t="shared" si="9"/>
        <v>0</v>
      </c>
      <c r="X20" s="245">
        <f t="shared" si="9"/>
        <v>0</v>
      </c>
      <c r="Y20" s="245">
        <f t="shared" si="9"/>
        <v>0</v>
      </c>
      <c r="AK20" t="e">
        <f t="shared" si="1"/>
        <v>#N/A</v>
      </c>
      <c r="AL20" t="e">
        <f t="shared" si="2"/>
        <v>#N/A</v>
      </c>
      <c r="AM20" t="e">
        <f t="shared" si="3"/>
        <v>#N/A</v>
      </c>
      <c r="AN20" s="286" t="e">
        <f t="shared" si="4"/>
        <v>#N/A</v>
      </c>
      <c r="AO20" s="42"/>
    </row>
    <row r="21" spans="2:61" collapsed="1" x14ac:dyDescent="0.2">
      <c r="B21" t="s">
        <v>241</v>
      </c>
      <c r="D21" s="244"/>
      <c r="E21" s="244">
        <f t="shared" ref="E21:Y21" si="10">E18+E19+E20</f>
        <v>1</v>
      </c>
      <c r="F21" s="244">
        <f t="shared" si="10"/>
        <v>1</v>
      </c>
      <c r="G21" s="244">
        <f t="shared" si="10"/>
        <v>1</v>
      </c>
      <c r="H21" s="244">
        <f t="shared" si="10"/>
        <v>1</v>
      </c>
      <c r="I21" s="244">
        <f t="shared" si="10"/>
        <v>0</v>
      </c>
      <c r="J21" s="244">
        <f t="shared" si="10"/>
        <v>0</v>
      </c>
      <c r="K21" s="244">
        <f t="shared" si="10"/>
        <v>0</v>
      </c>
      <c r="L21" s="244">
        <f t="shared" si="10"/>
        <v>0</v>
      </c>
      <c r="M21" s="244">
        <f t="shared" si="10"/>
        <v>0</v>
      </c>
      <c r="N21" s="244">
        <f t="shared" si="10"/>
        <v>0</v>
      </c>
      <c r="O21" s="244">
        <f t="shared" si="10"/>
        <v>0</v>
      </c>
      <c r="P21" s="244">
        <f t="shared" si="10"/>
        <v>0</v>
      </c>
      <c r="Q21" s="244">
        <f t="shared" si="10"/>
        <v>1.5939109838631154E-2</v>
      </c>
      <c r="R21" s="244">
        <f t="shared" si="10"/>
        <v>0.1003645230068473</v>
      </c>
      <c r="S21" s="244">
        <f t="shared" si="10"/>
        <v>0.16388361596433271</v>
      </c>
      <c r="T21" s="244">
        <f t="shared" si="10"/>
        <v>0.21037282530889378</v>
      </c>
      <c r="U21" s="244">
        <f t="shared" si="10"/>
        <v>0.24306682087804857</v>
      </c>
      <c r="V21" s="244">
        <f t="shared" si="10"/>
        <v>0.26465871270008551</v>
      </c>
      <c r="W21" s="244">
        <f t="shared" si="10"/>
        <v>0.27738513491456651</v>
      </c>
      <c r="X21" s="244">
        <f t="shared" si="10"/>
        <v>0.28309844206112678</v>
      </c>
      <c r="Y21" s="244">
        <f t="shared" si="10"/>
        <v>0.28332792687934372</v>
      </c>
      <c r="AJ21" s="188">
        <f>AJ16+1</f>
        <v>2035</v>
      </c>
      <c r="AK21" s="237">
        <f t="shared" si="1"/>
        <v>9.327677467582193</v>
      </c>
      <c r="AL21" s="237">
        <f t="shared" si="2"/>
        <v>-54.484919755895078</v>
      </c>
      <c r="AM21" s="237">
        <f t="shared" si="3"/>
        <v>-45.157242288312887</v>
      </c>
      <c r="AN21" s="285">
        <f t="shared" si="4"/>
        <v>4</v>
      </c>
      <c r="AO21" s="42"/>
    </row>
    <row r="22" spans="2:61" x14ac:dyDescent="0.2">
      <c r="B22" t="s">
        <v>242</v>
      </c>
      <c r="D22" s="39">
        <f>Macro!C20</f>
        <v>65</v>
      </c>
      <c r="E22" s="39">
        <f>Macro!D20</f>
        <v>97.5</v>
      </c>
      <c r="F22" s="39">
        <f>Macro!E20</f>
        <v>143.8125</v>
      </c>
      <c r="G22" s="39">
        <f>Macro!F20</f>
        <v>208.52812499999999</v>
      </c>
      <c r="H22" s="39">
        <f>Macro!G20</f>
        <v>297.15257812499993</v>
      </c>
      <c r="I22" s="39">
        <f>Macro!H20</f>
        <v>416.01360937499987</v>
      </c>
      <c r="J22" s="39">
        <f>Macro!I20</f>
        <v>572.01871289062478</v>
      </c>
      <c r="K22" s="39">
        <f>Macro!J20</f>
        <v>772.22526240234333</v>
      </c>
      <c r="L22" s="39">
        <f>Macro!K20</f>
        <v>1023.1984726831047</v>
      </c>
      <c r="M22" s="39">
        <f>Macro!L20</f>
        <v>1330.1580144880359</v>
      </c>
      <c r="N22" s="39">
        <f>Macro!M20</f>
        <v>1695.9514684722456</v>
      </c>
      <c r="O22" s="39">
        <f>Macro!N20</f>
        <v>2119.9393355903067</v>
      </c>
      <c r="P22" s="39">
        <f>Macro!O20</f>
        <v>2596.9256860981254</v>
      </c>
      <c r="Q22" s="39">
        <f>Macro!P20</f>
        <v>3116.3108233177504</v>
      </c>
      <c r="R22" s="39">
        <f>Macro!Q20</f>
        <v>3739.5729879813002</v>
      </c>
      <c r="S22" s="39">
        <f>Macro!R20</f>
        <v>4487.4875855775599</v>
      </c>
      <c r="T22" s="39">
        <f>Macro!S20</f>
        <v>5384.9851026930719</v>
      </c>
      <c r="U22" s="39">
        <f>Macro!T20</f>
        <v>6461.9821232316863</v>
      </c>
      <c r="V22" s="39">
        <f>Macro!U20</f>
        <v>7754.3785478780228</v>
      </c>
      <c r="W22" s="39">
        <f>Macro!V20</f>
        <v>9305.2542574536274</v>
      </c>
      <c r="X22" s="39">
        <f>Macro!W20</f>
        <v>11166.305108944352</v>
      </c>
      <c r="Y22" s="39">
        <f>Macro!X20</f>
        <v>13399.566130733223</v>
      </c>
      <c r="AA22" s="12">
        <f>IFERROR((E22/D22)-1,"")</f>
        <v>0.5</v>
      </c>
      <c r="AB22" s="12">
        <f>IFERROR((J22/D22)^(1/6)-1,"")</f>
        <v>0.43686559725988783</v>
      </c>
      <c r="AC22" s="12">
        <f t="shared" ref="AC22" si="11">IFERROR((O22/D22)^(1/11)-1,"")</f>
        <v>0.37272244333469207</v>
      </c>
      <c r="AD22" s="12">
        <f t="shared" ref="AD22" si="12">IFERROR((T22/D22)^(1/16)-1,"")</f>
        <v>0.31792879499327231</v>
      </c>
      <c r="AE22" s="12">
        <f t="shared" ref="AE22" si="13">IFERROR((Y22/D22)^(1/21)-1,"")</f>
        <v>0.28883975252734717</v>
      </c>
      <c r="AJ22" s="11">
        <f>AJ21+1</f>
        <v>2036</v>
      </c>
      <c r="AK22" s="236">
        <f t="shared" si="1"/>
        <v>11.262706313416595</v>
      </c>
      <c r="AL22" s="236">
        <f t="shared" si="2"/>
        <v>-54.802243250992682</v>
      </c>
      <c r="AM22" s="236">
        <f t="shared" si="3"/>
        <v>-43.539536937576088</v>
      </c>
      <c r="AN22" s="284">
        <f t="shared" si="4"/>
        <v>4</v>
      </c>
      <c r="AO22" s="64"/>
      <c r="AP22" s="65"/>
    </row>
    <row r="23" spans="2:61" hidden="1" outlineLevel="1" x14ac:dyDescent="0.2">
      <c r="B23" t="s">
        <v>243</v>
      </c>
      <c r="D23" s="39"/>
      <c r="E23" s="39">
        <f t="shared" ref="E23:Y23" si="14">E21*E22</f>
        <v>97.5</v>
      </c>
      <c r="F23" s="39">
        <f t="shared" si="14"/>
        <v>143.8125</v>
      </c>
      <c r="G23" s="39">
        <f t="shared" si="14"/>
        <v>208.52812499999999</v>
      </c>
      <c r="H23" s="39">
        <f t="shared" si="14"/>
        <v>297.15257812499993</v>
      </c>
      <c r="I23" s="39">
        <f t="shared" si="14"/>
        <v>0</v>
      </c>
      <c r="J23" s="39">
        <f t="shared" si="14"/>
        <v>0</v>
      </c>
      <c r="K23" s="39">
        <f t="shared" si="14"/>
        <v>0</v>
      </c>
      <c r="L23" s="39">
        <f t="shared" si="14"/>
        <v>0</v>
      </c>
      <c r="M23" s="39">
        <f t="shared" si="14"/>
        <v>0</v>
      </c>
      <c r="N23" s="39">
        <f t="shared" si="14"/>
        <v>0</v>
      </c>
      <c r="O23" s="39">
        <f t="shared" si="14"/>
        <v>0</v>
      </c>
      <c r="P23" s="39">
        <f t="shared" si="14"/>
        <v>0</v>
      </c>
      <c r="Q23" s="39">
        <f t="shared" si="14"/>
        <v>49.671220504176709</v>
      </c>
      <c r="R23" s="39">
        <f t="shared" si="14"/>
        <v>375.32045918803391</v>
      </c>
      <c r="S23" s="39">
        <f t="shared" si="14"/>
        <v>735.42569211950342</v>
      </c>
      <c r="T23" s="39">
        <f t="shared" si="14"/>
        <v>1132.854530299845</v>
      </c>
      <c r="U23" s="39">
        <f t="shared" si="14"/>
        <v>1570.6934512647083</v>
      </c>
      <c r="V23" s="39">
        <f t="shared" si="14"/>
        <v>2052.2638442705561</v>
      </c>
      <c r="W23" s="39">
        <f t="shared" si="14"/>
        <v>2581.1392076181187</v>
      </c>
      <c r="X23" s="39">
        <f t="shared" si="14"/>
        <v>3161.1635799213468</v>
      </c>
      <c r="Y23" s="39">
        <f t="shared" si="14"/>
        <v>3796.471292903313</v>
      </c>
      <c r="AA23" s="12"/>
      <c r="AB23" s="12"/>
      <c r="AC23" s="12"/>
      <c r="AD23" s="12"/>
      <c r="AE23" s="12"/>
      <c r="AK23" t="e">
        <f t="shared" si="1"/>
        <v>#N/A</v>
      </c>
      <c r="AL23" t="e">
        <f t="shared" si="2"/>
        <v>#N/A</v>
      </c>
      <c r="AM23" t="e">
        <f t="shared" si="3"/>
        <v>#N/A</v>
      </c>
      <c r="AN23" s="286" t="e">
        <f t="shared" si="4"/>
        <v>#N/A</v>
      </c>
      <c r="AO23" s="64"/>
      <c r="AP23" s="65"/>
    </row>
    <row r="24" spans="2:61" collapsed="1" x14ac:dyDescent="0.2">
      <c r="B24" s="52" t="s">
        <v>244</v>
      </c>
      <c r="C24" s="52"/>
      <c r="D24" s="246">
        <f t="shared" ref="D24:Y24" si="15">D17+D21</f>
        <v>0</v>
      </c>
      <c r="E24" s="247">
        <f t="shared" si="15"/>
        <v>1</v>
      </c>
      <c r="F24" s="247">
        <f t="shared" si="15"/>
        <v>2</v>
      </c>
      <c r="G24" s="247">
        <f t="shared" si="15"/>
        <v>3</v>
      </c>
      <c r="H24" s="247">
        <f t="shared" si="15"/>
        <v>4</v>
      </c>
      <c r="I24" s="247">
        <f t="shared" si="15"/>
        <v>4</v>
      </c>
      <c r="J24" s="247">
        <f t="shared" si="15"/>
        <v>4</v>
      </c>
      <c r="K24" s="247">
        <f t="shared" si="15"/>
        <v>4</v>
      </c>
      <c r="L24" s="247">
        <f t="shared" si="15"/>
        <v>4</v>
      </c>
      <c r="M24" s="247">
        <f t="shared" si="15"/>
        <v>4</v>
      </c>
      <c r="N24" s="247">
        <f t="shared" si="15"/>
        <v>4</v>
      </c>
      <c r="O24" s="247">
        <f t="shared" si="15"/>
        <v>4</v>
      </c>
      <c r="P24" s="247">
        <f t="shared" si="15"/>
        <v>4</v>
      </c>
      <c r="Q24" s="247">
        <f t="shared" si="15"/>
        <v>4.015939109838631</v>
      </c>
      <c r="R24" s="247">
        <f t="shared" si="15"/>
        <v>4.1163036328454785</v>
      </c>
      <c r="S24" s="247">
        <f t="shared" si="15"/>
        <v>4.2801872488098116</v>
      </c>
      <c r="T24" s="247">
        <f t="shared" si="15"/>
        <v>4.4905600741187053</v>
      </c>
      <c r="U24" s="247">
        <f t="shared" si="15"/>
        <v>4.7336268949967542</v>
      </c>
      <c r="V24" s="247">
        <f t="shared" si="15"/>
        <v>4.9982856076968396</v>
      </c>
      <c r="W24" s="247">
        <f t="shared" si="15"/>
        <v>5.275670742611406</v>
      </c>
      <c r="X24" s="247">
        <f t="shared" si="15"/>
        <v>5.5587691846725331</v>
      </c>
      <c r="Y24" s="247">
        <f t="shared" si="15"/>
        <v>5.8420971115518769</v>
      </c>
      <c r="AA24" s="12"/>
      <c r="AB24" s="12"/>
      <c r="AC24" s="12"/>
      <c r="AD24" s="12"/>
      <c r="AE24" s="178"/>
      <c r="AJ24" s="11">
        <f>AJ22+1</f>
        <v>2037</v>
      </c>
      <c r="AK24" s="236">
        <f t="shared" si="1"/>
        <v>13.417866599745986</v>
      </c>
      <c r="AL24" s="236">
        <f t="shared" si="2"/>
        <v>-54.785686177491286</v>
      </c>
      <c r="AM24" s="236">
        <f t="shared" si="3"/>
        <v>-41.367819577745301</v>
      </c>
      <c r="AN24" s="284">
        <f t="shared" si="4"/>
        <v>4.015939109838631</v>
      </c>
      <c r="AO24" s="64"/>
      <c r="AP24" s="65"/>
    </row>
    <row r="25" spans="2:61" x14ac:dyDescent="0.2">
      <c r="B25" t="s">
        <v>245</v>
      </c>
      <c r="E25" s="248">
        <f>IFERROR(-SUM($E$32:E32,$E$34:E34,$E$35:E35)/E24*10^3,"NA")</f>
        <v>97.5</v>
      </c>
      <c r="F25" s="248">
        <f>IFERROR(-SUM($E$32:F32,$E$34:F34,$E$35:F35)/F24*10^3,"NA")</f>
        <v>120.65625</v>
      </c>
      <c r="G25" s="248">
        <f>IFERROR(-SUM($E$32:G32,$E$34:G34,$E$35:G35)/G24*10^3,"NA")</f>
        <v>149.94687500000001</v>
      </c>
      <c r="H25" s="248">
        <f>IFERROR(-SUM($E$32:H32,$E$34:H34,$E$35:H35)/H24*10^3,"NA")</f>
        <v>186.74830078124998</v>
      </c>
      <c r="I25" s="248">
        <f>IFERROR(-SUM($E$32:I32,$E$34:I34,$E$35:I35)/I24*10^3,"NA")</f>
        <v>186.74830078124998</v>
      </c>
      <c r="J25" s="248">
        <f>IFERROR(-SUM($E$32:J32,$E$34:J34,$E$35:J35)/J24*10^3,"NA")</f>
        <v>186.74830078124998</v>
      </c>
      <c r="K25" s="248">
        <f>IFERROR(-SUM($E$32:K32,$E$34:K34,$E$35:K35)/K24*10^3,"NA")</f>
        <v>186.74830078124998</v>
      </c>
      <c r="L25" s="248">
        <f>IFERROR(-SUM($E$32:L32,$E$34:L34,$E$35:L35)/L24*10^3,"NA")</f>
        <v>186.74830078124998</v>
      </c>
      <c r="M25" s="248">
        <f>IFERROR(-SUM($E$32:M32,$E$34:M34,$E$35:M35)/M24*10^3,"NA")</f>
        <v>186.74830078124998</v>
      </c>
      <c r="N25" s="248">
        <f>IFERROR(-SUM($E$32:N32,$E$34:N34,$E$35:N35)/N24*10^3,"NA")</f>
        <v>186.74830078124998</v>
      </c>
      <c r="O25" s="248">
        <f>IFERROR(-SUM($E$32:O32,$E$34:O34,$E$35:O35)/O24*10^3,"NA")</f>
        <v>186.74830078124998</v>
      </c>
      <c r="P25" s="248">
        <f>IFERROR(-SUM($E$32:P32,$E$34:P34,$E$35:P35)/P24*10^3,"NA")</f>
        <v>186.74830078124998</v>
      </c>
      <c r="Q25" s="248">
        <f>IFERROR(-SUM($E$32:Q32,$E$34:Q34,$E$35:Q35)/Q24*10^3,"NA")</f>
        <v>198.3756231954394</v>
      </c>
      <c r="R25" s="248">
        <f>IFERROR(-SUM($E$32:R32,$E$34:R34,$E$35:R35)/R24*10^3,"NA")</f>
        <v>284.71779230898284</v>
      </c>
      <c r="S25" s="248">
        <f>IFERROR(-SUM($E$32:S32,$E$34:S34,$E$35:S35)/S24*10^3,"NA")</f>
        <v>445.63717988438617</v>
      </c>
      <c r="T25" s="248">
        <f>IFERROR(-SUM($E$32:T32,$E$34:T34,$E$35:T35)/T24*10^3,"NA")</f>
        <v>677.03472508008394</v>
      </c>
      <c r="U25" s="248">
        <f>IFERROR(-SUM($E$32:U32,$E$34:U34,$E$35:U35)/U24*10^3,"NA")</f>
        <v>974.08576104188899</v>
      </c>
      <c r="V25" s="248">
        <f>IFERROR(-SUM($E$32:V32,$E$34:V34,$E$35:V35)/V24*10^3,"NA")</f>
        <v>1333.101571969228</v>
      </c>
      <c r="W25" s="248">
        <f>IFERROR(-SUM($E$32:W32,$E$34:W34,$E$35:W35)/W24*10^3,"NA")</f>
        <v>1752.2628039925921</v>
      </c>
      <c r="X25" s="248">
        <f>IFERROR(-SUM($E$32:X32,$E$34:X34,$E$35:X35)/X24*10^3,"NA")</f>
        <v>2231.7035977168566</v>
      </c>
      <c r="Y25" s="248">
        <f>IFERROR(-SUM($E$32:Y32,$E$34:Y34,$E$35:Y35)/Y24*10^3,"NA")</f>
        <v>2773.3185826674412</v>
      </c>
      <c r="AG25" s="15"/>
      <c r="AH25" s="15"/>
      <c r="AJ25" s="11">
        <f>AJ24+1</f>
        <v>2038</v>
      </c>
      <c r="AK25" s="236">
        <f t="shared" si="1"/>
        <v>16.32501118310827</v>
      </c>
      <c r="AL25" s="236">
        <f t="shared" si="2"/>
        <v>-54.660579357761939</v>
      </c>
      <c r="AM25" s="236">
        <f t="shared" si="3"/>
        <v>-38.335568174653673</v>
      </c>
      <c r="AN25" s="284">
        <f t="shared" si="4"/>
        <v>4.1163036328454785</v>
      </c>
      <c r="AO25" s="42"/>
    </row>
    <row r="26" spans="2:61" hidden="1" outlineLevel="1" x14ac:dyDescent="0.2">
      <c r="B26" t="s">
        <v>246</v>
      </c>
      <c r="E26" s="248">
        <f>IFERROR(E24*E25,"NA")</f>
        <v>97.5</v>
      </c>
      <c r="F26" s="248">
        <f t="shared" ref="F26:Y26" si="16">IFERROR(F24*F25,"NA")</f>
        <v>241.3125</v>
      </c>
      <c r="G26" s="248">
        <f t="shared" si="16"/>
        <v>449.84062500000005</v>
      </c>
      <c r="H26" s="248">
        <f t="shared" si="16"/>
        <v>746.99320312499992</v>
      </c>
      <c r="I26" s="248">
        <f t="shared" si="16"/>
        <v>746.99320312499992</v>
      </c>
      <c r="J26" s="248">
        <f t="shared" si="16"/>
        <v>746.99320312499992</v>
      </c>
      <c r="K26" s="248">
        <f t="shared" si="16"/>
        <v>746.99320312499992</v>
      </c>
      <c r="L26" s="248">
        <f t="shared" si="16"/>
        <v>746.99320312499992</v>
      </c>
      <c r="M26" s="248">
        <f t="shared" si="16"/>
        <v>746.99320312499992</v>
      </c>
      <c r="N26" s="248">
        <f t="shared" si="16"/>
        <v>746.99320312499992</v>
      </c>
      <c r="O26" s="248">
        <f t="shared" si="16"/>
        <v>746.99320312499992</v>
      </c>
      <c r="P26" s="248">
        <f t="shared" si="16"/>
        <v>746.99320312499992</v>
      </c>
      <c r="Q26" s="248">
        <f t="shared" si="16"/>
        <v>796.66442362917655</v>
      </c>
      <c r="R26" s="248">
        <f t="shared" si="16"/>
        <v>1171.9848828172105</v>
      </c>
      <c r="S26" s="248">
        <f t="shared" si="16"/>
        <v>1907.4105749367141</v>
      </c>
      <c r="T26" s="248">
        <f t="shared" si="16"/>
        <v>3040.2651052365591</v>
      </c>
      <c r="U26" s="248">
        <f t="shared" si="16"/>
        <v>4610.9585565012676</v>
      </c>
      <c r="V26" s="248">
        <f t="shared" si="16"/>
        <v>6663.2224007718251</v>
      </c>
      <c r="W26" s="248">
        <f t="shared" si="16"/>
        <v>9244.3616083899433</v>
      </c>
      <c r="X26" s="248">
        <f t="shared" si="16"/>
        <v>12405.525188311291</v>
      </c>
      <c r="Y26" s="248">
        <f t="shared" si="16"/>
        <v>16201.996481214603</v>
      </c>
      <c r="AG26" s="15"/>
      <c r="AH26" s="15"/>
      <c r="AK26" t="e">
        <f t="shared" si="1"/>
        <v>#N/A</v>
      </c>
      <c r="AL26" t="e">
        <f t="shared" si="2"/>
        <v>#N/A</v>
      </c>
      <c r="AM26" t="e">
        <f t="shared" si="3"/>
        <v>#N/A</v>
      </c>
      <c r="AN26" s="286" t="e">
        <f t="shared" si="4"/>
        <v>#N/A</v>
      </c>
      <c r="AO26" s="42"/>
    </row>
    <row r="27" spans="2:61" collapsed="1" x14ac:dyDescent="0.2">
      <c r="B27" s="213" t="s">
        <v>247</v>
      </c>
      <c r="C27" s="213"/>
      <c r="D27" s="214"/>
      <c r="E27" s="214"/>
      <c r="F27" s="214"/>
      <c r="G27" s="214"/>
      <c r="H27" s="214"/>
      <c r="I27" s="214"/>
      <c r="J27" s="214"/>
      <c r="K27" s="214"/>
      <c r="L27" s="214"/>
      <c r="M27" s="214"/>
      <c r="N27" s="214"/>
      <c r="O27" s="214"/>
      <c r="P27" s="214"/>
      <c r="Q27" s="214"/>
      <c r="R27" s="214"/>
      <c r="S27" s="214"/>
      <c r="T27" s="214"/>
      <c r="U27" s="214"/>
      <c r="V27" s="214"/>
      <c r="W27" s="214"/>
      <c r="X27" s="214"/>
      <c r="Y27" s="214"/>
      <c r="AE27" s="214"/>
      <c r="AF27" s="10"/>
      <c r="AG27" s="10"/>
      <c r="AH27" s="10"/>
      <c r="AJ27" s="11">
        <f>AJ25+1</f>
        <v>2039</v>
      </c>
      <c r="AK27" s="236">
        <f t="shared" si="1"/>
        <v>20.168842890165209</v>
      </c>
      <c r="AL27" s="236">
        <f t="shared" si="2"/>
        <v>-54.415437460388773</v>
      </c>
      <c r="AM27" s="236">
        <f t="shared" si="3"/>
        <v>-34.246594570223564</v>
      </c>
      <c r="AN27" s="284">
        <f t="shared" si="4"/>
        <v>4.2801872488098116</v>
      </c>
      <c r="AP27" s="66"/>
      <c r="AQ27" s="77"/>
      <c r="AR27" s="77"/>
      <c r="AT27" s="100"/>
      <c r="AU27" s="100"/>
      <c r="AV27" s="100"/>
      <c r="AW27" s="100"/>
      <c r="AX27" s="100"/>
      <c r="AY27" s="100"/>
      <c r="BA27" s="71"/>
      <c r="BB27" s="1"/>
      <c r="BC27" s="1"/>
      <c r="BD27" s="1"/>
      <c r="BE27" s="1"/>
      <c r="BF27" s="1"/>
    </row>
    <row r="28" spans="2:61" x14ac:dyDescent="0.2">
      <c r="B28" s="48" t="s">
        <v>215</v>
      </c>
      <c r="C28" s="48"/>
      <c r="D28" s="50">
        <f>D4</f>
        <v>4.9000000000000004</v>
      </c>
      <c r="E28" s="50">
        <f t="shared" ref="E28:Y28" si="17">D28*(1+$AE$5)</f>
        <v>5.2430000000000003</v>
      </c>
      <c r="F28" s="50">
        <f t="shared" si="17"/>
        <v>5.6100100000000008</v>
      </c>
      <c r="G28" s="50">
        <f t="shared" si="17"/>
        <v>6.0027107000000015</v>
      </c>
      <c r="H28" s="50">
        <f t="shared" si="17"/>
        <v>6.4229004490000019</v>
      </c>
      <c r="I28" s="50">
        <f t="shared" si="17"/>
        <v>6.8725034804300025</v>
      </c>
      <c r="J28" s="50">
        <f t="shared" si="17"/>
        <v>7.3535787240601032</v>
      </c>
      <c r="K28" s="50">
        <f t="shared" si="17"/>
        <v>7.8683292347443112</v>
      </c>
      <c r="L28" s="50">
        <f t="shared" si="17"/>
        <v>8.4191122811764139</v>
      </c>
      <c r="M28" s="50">
        <f t="shared" si="17"/>
        <v>9.0084501408587627</v>
      </c>
      <c r="N28" s="50">
        <f t="shared" si="17"/>
        <v>9.6390416507188768</v>
      </c>
      <c r="O28" s="50">
        <f t="shared" si="17"/>
        <v>10.313774566269199</v>
      </c>
      <c r="P28" s="50">
        <f t="shared" si="17"/>
        <v>11.035738785908043</v>
      </c>
      <c r="Q28" s="50">
        <f t="shared" si="17"/>
        <v>11.808240500921606</v>
      </c>
      <c r="R28" s="50">
        <f t="shared" si="17"/>
        <v>12.634817335986119</v>
      </c>
      <c r="S28" s="50">
        <f t="shared" si="17"/>
        <v>13.519254549505147</v>
      </c>
      <c r="T28" s="50">
        <f t="shared" si="17"/>
        <v>14.465602367970508</v>
      </c>
      <c r="U28" s="50">
        <f t="shared" si="17"/>
        <v>15.478194533728445</v>
      </c>
      <c r="V28" s="50">
        <f t="shared" si="17"/>
        <v>16.561668151089435</v>
      </c>
      <c r="W28" s="50">
        <f t="shared" si="17"/>
        <v>17.720984921665696</v>
      </c>
      <c r="X28" s="50">
        <f t="shared" si="17"/>
        <v>18.961453866182296</v>
      </c>
      <c r="Y28" s="50">
        <f t="shared" si="17"/>
        <v>20.288755636815058</v>
      </c>
      <c r="Z28" s="11"/>
      <c r="AA28" s="12">
        <f t="shared" ref="AA28:AA34" si="18">IFERROR((E28/D28)-1,"")</f>
        <v>7.0000000000000062E-2</v>
      </c>
      <c r="AB28" s="12">
        <f t="shared" ref="AB28:AB34" si="19">IFERROR((J28/D28)^(1/6)-1,"")</f>
        <v>7.0000000000000062E-2</v>
      </c>
      <c r="AC28" s="12">
        <f>IFERROR((O28/D28)^(1/11)-1,"")</f>
        <v>7.0000000000000062E-2</v>
      </c>
      <c r="AD28" s="12">
        <f>IFERROR((T28/D28)^(1/16)-1,"")</f>
        <v>7.0000000000000062E-2</v>
      </c>
      <c r="AE28" s="12">
        <f>IFERROR((Y28/D28)^(1/21)-1,"")</f>
        <v>7.0000000000000062E-2</v>
      </c>
      <c r="AF28" s="10"/>
      <c r="AG28" s="10"/>
      <c r="AH28" s="10"/>
      <c r="AJ28" s="188">
        <f>AJ27+1</f>
        <v>2040</v>
      </c>
      <c r="AK28" s="237">
        <f t="shared" si="1"/>
        <v>25.173867931895213</v>
      </c>
      <c r="AL28" s="237">
        <f t="shared" si="2"/>
        <v>-54.037819283622156</v>
      </c>
      <c r="AM28" s="237">
        <f t="shared" si="3"/>
        <v>-28.863951351726943</v>
      </c>
      <c r="AN28" s="285">
        <f t="shared" si="4"/>
        <v>4.4905600741187053</v>
      </c>
      <c r="AP28" s="66"/>
    </row>
    <row r="29" spans="2:61" ht="15" customHeight="1" x14ac:dyDescent="0.2">
      <c r="B29" s="48" t="s">
        <v>216</v>
      </c>
      <c r="C29" s="48"/>
      <c r="D29" s="50">
        <f>D5</f>
        <v>-5.9</v>
      </c>
      <c r="E29" s="50">
        <f t="shared" ref="E29:Y29" si="20">D29*(1+$AE$6)</f>
        <v>-6.136000000000001</v>
      </c>
      <c r="F29" s="50">
        <f t="shared" si="20"/>
        <v>-6.3814400000000013</v>
      </c>
      <c r="G29" s="50">
        <f t="shared" si="20"/>
        <v>-6.6366976000000015</v>
      </c>
      <c r="H29" s="50">
        <f t="shared" si="20"/>
        <v>-6.9021655040000018</v>
      </c>
      <c r="I29" s="50">
        <f t="shared" si="20"/>
        <v>-7.1782521241600019</v>
      </c>
      <c r="J29" s="50">
        <f t="shared" si="20"/>
        <v>-7.4653822091264024</v>
      </c>
      <c r="K29" s="50">
        <f t="shared" si="20"/>
        <v>-7.7639974974914585</v>
      </c>
      <c r="L29" s="50">
        <f t="shared" si="20"/>
        <v>-8.0745573973911178</v>
      </c>
      <c r="M29" s="50">
        <f t="shared" si="20"/>
        <v>-8.3975396932867632</v>
      </c>
      <c r="N29" s="50">
        <f t="shared" si="20"/>
        <v>-8.7334412810182336</v>
      </c>
      <c r="O29" s="50">
        <f t="shared" si="20"/>
        <v>-9.0827789322589627</v>
      </c>
      <c r="P29" s="50">
        <f t="shared" si="20"/>
        <v>-9.4460900895493207</v>
      </c>
      <c r="Q29" s="50">
        <f t="shared" si="20"/>
        <v>-9.8239336931312931</v>
      </c>
      <c r="R29" s="50">
        <f t="shared" si="20"/>
        <v>-10.216891040856545</v>
      </c>
      <c r="S29" s="50">
        <f t="shared" si="20"/>
        <v>-10.625566682490808</v>
      </c>
      <c r="T29" s="50">
        <f t="shared" si="20"/>
        <v>-11.050589349790441</v>
      </c>
      <c r="U29" s="50">
        <f t="shared" si="20"/>
        <v>-11.492612923782058</v>
      </c>
      <c r="V29" s="50">
        <f t="shared" si="20"/>
        <v>-11.95231744073334</v>
      </c>
      <c r="W29" s="50">
        <f t="shared" si="20"/>
        <v>-12.430410138362674</v>
      </c>
      <c r="X29" s="50">
        <f t="shared" si="20"/>
        <v>-12.927626543897182</v>
      </c>
      <c r="Y29" s="50">
        <f t="shared" si="20"/>
        <v>-13.44473160565307</v>
      </c>
      <c r="AA29" s="12">
        <f t="shared" si="18"/>
        <v>4.0000000000000036E-2</v>
      </c>
      <c r="AB29" s="12">
        <f t="shared" si="19"/>
        <v>4.0000000000000036E-2</v>
      </c>
      <c r="AC29" s="12">
        <f t="shared" ref="AC29:AC30" si="21">IFERROR((O29/D29)^(1/11)-1,"")</f>
        <v>4.0000000000000036E-2</v>
      </c>
      <c r="AD29" s="12">
        <f t="shared" ref="AD29:AD30" si="22">IFERROR((T29/D29)^(1/16)-1,"")</f>
        <v>4.0000000000000036E-2</v>
      </c>
      <c r="AE29" s="12">
        <f t="shared" ref="AE29:AE30" si="23">IFERROR((Y29/D29)^(1/21)-1,"")</f>
        <v>4.0000000000000036E-2</v>
      </c>
      <c r="AF29" s="10"/>
      <c r="AG29" s="10"/>
      <c r="AH29" s="10"/>
      <c r="AJ29" s="11">
        <f>AJ28+1</f>
        <v>2041</v>
      </c>
      <c r="AK29" s="236">
        <f t="shared" si="1"/>
        <v>31.612575293929115</v>
      </c>
      <c r="AL29" s="236">
        <f t="shared" si="2"/>
        <v>-53.514254799867253</v>
      </c>
      <c r="AM29" s="236">
        <f t="shared" si="3"/>
        <v>-21.901679505938137</v>
      </c>
      <c r="AN29" s="284">
        <f t="shared" si="4"/>
        <v>4.7336268949967542</v>
      </c>
    </row>
    <row r="30" spans="2:61" ht="15" customHeight="1" x14ac:dyDescent="0.2">
      <c r="B30" s="48" t="s">
        <v>164</v>
      </c>
      <c r="C30" s="48"/>
      <c r="D30" s="101">
        <v>-1</v>
      </c>
      <c r="E30" s="50">
        <f t="shared" ref="E30:Y30" si="24">$D$7*E46</f>
        <v>-1.2600000000000002</v>
      </c>
      <c r="F30" s="50">
        <f t="shared" si="24"/>
        <v>-1.3387675000000001</v>
      </c>
      <c r="G30" s="50">
        <f t="shared" si="24"/>
        <v>-1.4176578500000003</v>
      </c>
      <c r="H30" s="50">
        <f t="shared" si="24"/>
        <v>-1.4967639006250004</v>
      </c>
      <c r="I30" s="50">
        <f t="shared" si="24"/>
        <v>-1.5763252543062503</v>
      </c>
      <c r="J30" s="50">
        <f t="shared" si="24"/>
        <v>-1.6421978407375188</v>
      </c>
      <c r="K30" s="50">
        <f t="shared" si="24"/>
        <v>-1.7035878871406527</v>
      </c>
      <c r="L30" s="50">
        <f t="shared" si="24"/>
        <v>-1.7595618523867256</v>
      </c>
      <c r="M30" s="50">
        <f t="shared" si="24"/>
        <v>-1.8090870962877756</v>
      </c>
      <c r="N30" s="50">
        <f t="shared" si="24"/>
        <v>-1.8510232789928278</v>
      </c>
      <c r="O30" s="50">
        <f t="shared" si="24"/>
        <v>-1.8841130808180542</v>
      </c>
      <c r="P30" s="50">
        <f t="shared" si="24"/>
        <v>-1.9069721914563278</v>
      </c>
      <c r="Q30" s="50">
        <f t="shared" si="24"/>
        <v>-1.918078513784744</v>
      </c>
      <c r="R30" s="50">
        <f t="shared" si="24"/>
        <v>-1.9174990162121952</v>
      </c>
      <c r="S30" s="50">
        <f t="shared" si="24"/>
        <v>-1.913120277521668</v>
      </c>
      <c r="T30" s="50">
        <f t="shared" si="24"/>
        <v>-1.9045403111136072</v>
      </c>
      <c r="U30" s="50">
        <f t="shared" si="24"/>
        <v>-1.8913236749267757</v>
      </c>
      <c r="V30" s="50">
        <f t="shared" si="24"/>
        <v>-1.8729989179953541</v>
      </c>
      <c r="W30" s="50">
        <f t="shared" si="24"/>
        <v>-1.8490558398121975</v>
      </c>
      <c r="X30" s="50">
        <f t="shared" si="24"/>
        <v>-1.8189425490566529</v>
      </c>
      <c r="Y30" s="50">
        <f t="shared" si="24"/>
        <v>-1.7820623072909036</v>
      </c>
      <c r="AA30" s="12">
        <f t="shared" si="18"/>
        <v>0.26000000000000023</v>
      </c>
      <c r="AB30" s="12">
        <f t="shared" si="19"/>
        <v>8.6186113333220682E-2</v>
      </c>
      <c r="AC30" s="12">
        <f t="shared" si="21"/>
        <v>5.9277442658068891E-2</v>
      </c>
      <c r="AD30" s="12">
        <f t="shared" si="22"/>
        <v>4.1086669384189145E-2</v>
      </c>
      <c r="AE30" s="12">
        <f t="shared" si="23"/>
        <v>2.7894894114024904E-2</v>
      </c>
      <c r="AG30" s="12"/>
      <c r="AH30" s="12"/>
      <c r="AJ30" s="11">
        <f>AJ29+1</f>
        <v>2042</v>
      </c>
      <c r="AK30" s="236">
        <f t="shared" si="1"/>
        <v>39.815268045250505</v>
      </c>
      <c r="AL30" s="236">
        <f t="shared" si="2"/>
        <v>-52.830166851777065</v>
      </c>
      <c r="AM30" s="236">
        <f t="shared" si="3"/>
        <v>-13.01489880652656</v>
      </c>
      <c r="AN30" s="284">
        <f t="shared" si="4"/>
        <v>4.9982856076968396</v>
      </c>
    </row>
    <row r="31" spans="2:61" x14ac:dyDescent="0.2">
      <c r="B31" s="134" t="s">
        <v>248</v>
      </c>
      <c r="C31" s="134"/>
      <c r="D31" s="250">
        <f>SUM(D28:D30)</f>
        <v>-2</v>
      </c>
      <c r="E31" s="250">
        <f t="shared" ref="E31:Y31" si="25">SUM(E28:E30)</f>
        <v>-2.1530000000000009</v>
      </c>
      <c r="F31" s="250">
        <f t="shared" si="25"/>
        <v>-2.1101975000000008</v>
      </c>
      <c r="G31" s="250">
        <f t="shared" si="25"/>
        <v>-2.0516447500000004</v>
      </c>
      <c r="H31" s="250">
        <f t="shared" si="25"/>
        <v>-1.9760289556250004</v>
      </c>
      <c r="I31" s="250">
        <f t="shared" si="25"/>
        <v>-1.8820738980362497</v>
      </c>
      <c r="J31" s="250">
        <f t="shared" si="25"/>
        <v>-1.7540013258038181</v>
      </c>
      <c r="K31" s="250">
        <f t="shared" si="25"/>
        <v>-1.5992561498878</v>
      </c>
      <c r="L31" s="250">
        <f t="shared" si="25"/>
        <v>-1.4150069686014295</v>
      </c>
      <c r="M31" s="250">
        <f t="shared" si="25"/>
        <v>-1.1981766487157761</v>
      </c>
      <c r="N31" s="250">
        <f t="shared" si="25"/>
        <v>-0.94542290929218464</v>
      </c>
      <c r="O31" s="250">
        <f t="shared" si="25"/>
        <v>-0.6531174468078178</v>
      </c>
      <c r="P31" s="250">
        <f t="shared" si="25"/>
        <v>-0.3173234950976056</v>
      </c>
      <c r="Q31" s="250">
        <f t="shared" si="25"/>
        <v>6.6228294005568955E-2</v>
      </c>
      <c r="R31" s="250">
        <f t="shared" si="25"/>
        <v>0.50042727891737848</v>
      </c>
      <c r="S31" s="250">
        <f t="shared" si="25"/>
        <v>0.98056758949267131</v>
      </c>
      <c r="T31" s="250">
        <f t="shared" si="25"/>
        <v>1.5104727070664601</v>
      </c>
      <c r="U31" s="250">
        <f t="shared" si="25"/>
        <v>2.0942579350196109</v>
      </c>
      <c r="V31" s="250">
        <f t="shared" si="25"/>
        <v>2.7363517923607406</v>
      </c>
      <c r="W31" s="250">
        <f t="shared" si="25"/>
        <v>3.4415189434908244</v>
      </c>
      <c r="X31" s="250">
        <f t="shared" si="25"/>
        <v>4.2148847732284622</v>
      </c>
      <c r="Y31" s="250">
        <f t="shared" si="25"/>
        <v>5.0619617238710841</v>
      </c>
      <c r="Z31" s="5"/>
      <c r="AA31" s="14">
        <f t="shared" si="18"/>
        <v>7.6500000000000457E-2</v>
      </c>
      <c r="AB31" s="14">
        <f t="shared" si="19"/>
        <v>-2.1637074637242071E-2</v>
      </c>
      <c r="AC31" s="14">
        <f>IFERROR((O31/D31)^(1/11)-1,"")</f>
        <v>-9.6736080863929819E-2</v>
      </c>
      <c r="AD31" s="14" t="str">
        <f>IFERROR((T31/D31)^(1/16)-1,"")</f>
        <v/>
      </c>
      <c r="AE31" s="136">
        <f>IFERROR((Y31/D31)^(1/21)-1,"")</f>
        <v>-2.0452116252827395</v>
      </c>
      <c r="AG31" s="12"/>
      <c r="AH31" s="12"/>
      <c r="AJ31" s="11">
        <f>AJ30+1</f>
        <v>2043</v>
      </c>
      <c r="AK31" s="236">
        <f t="shared" si="1"/>
        <v>50.181878100914567</v>
      </c>
      <c r="AL31" s="236">
        <f t="shared" si="2"/>
        <v>-51.96978711590436</v>
      </c>
      <c r="AM31" s="236">
        <f t="shared" si="3"/>
        <v>-1.7879090149897934</v>
      </c>
      <c r="AN31" s="284">
        <f t="shared" si="4"/>
        <v>5.275670742611406</v>
      </c>
      <c r="AO31" s="25"/>
    </row>
    <row r="32" spans="2:61" hidden="1" outlineLevel="1" x14ac:dyDescent="0.2">
      <c r="B32" s="48" t="s">
        <v>249</v>
      </c>
      <c r="C32" s="48"/>
      <c r="D32" s="47">
        <f>-D18*Macro!C20/10^3</f>
        <v>0</v>
      </c>
      <c r="E32" s="47">
        <f>-E18*Macro!D20/10^3</f>
        <v>-9.7500000000000003E-2</v>
      </c>
      <c r="F32" s="47">
        <f>-F18*Macro!E20/10^3</f>
        <v>-0.14381250000000001</v>
      </c>
      <c r="G32" s="47">
        <f>-G18*Macro!F20/10^3</f>
        <v>-0.20852812499999998</v>
      </c>
      <c r="H32" s="47">
        <f>-H18*Macro!G20/10^3</f>
        <v>-0.29715257812499996</v>
      </c>
      <c r="I32" s="47">
        <f>-I18*Macro!H20/10^3</f>
        <v>0</v>
      </c>
      <c r="J32" s="47">
        <f>-J18*Macro!I20/10^3</f>
        <v>0</v>
      </c>
      <c r="K32" s="47">
        <f>-K18*Macro!J20/10^3</f>
        <v>0</v>
      </c>
      <c r="L32" s="47">
        <f>-L18*Macro!K20/10^3</f>
        <v>0</v>
      </c>
      <c r="M32" s="47">
        <f>-M18*Macro!L20/10^3</f>
        <v>0</v>
      </c>
      <c r="N32" s="47">
        <f>-N18*Macro!M20/10^3</f>
        <v>0</v>
      </c>
      <c r="O32" s="47">
        <f>-O18*Macro!N20/10^3</f>
        <v>0</v>
      </c>
      <c r="P32" s="47">
        <f>-P18*Macro!O20/10^3</f>
        <v>0</v>
      </c>
      <c r="Q32" s="47">
        <f>-Q18*Macro!P20/10^3</f>
        <v>0</v>
      </c>
      <c r="R32" s="47">
        <f>-R18*Macro!Q20/10^3</f>
        <v>0</v>
      </c>
      <c r="S32" s="47">
        <f>-S18*Macro!R20/10^3</f>
        <v>0</v>
      </c>
      <c r="T32" s="47">
        <f>-T18*Macro!S20/10^3</f>
        <v>0</v>
      </c>
      <c r="U32" s="47">
        <f>-U18*Macro!T20/10^3</f>
        <v>0</v>
      </c>
      <c r="V32" s="47">
        <f>-V18*Macro!U20/10^3</f>
        <v>0</v>
      </c>
      <c r="W32" s="47">
        <f>-W18*Macro!V20/10^3</f>
        <v>0</v>
      </c>
      <c r="X32" s="47">
        <f>-X18*Macro!W20/10^3</f>
        <v>0</v>
      </c>
      <c r="Y32" s="47">
        <f>-Y18*Macro!X20/10^3</f>
        <v>0</v>
      </c>
      <c r="AA32" s="12" t="str">
        <f t="shared" si="18"/>
        <v/>
      </c>
      <c r="AB32" s="12" t="str">
        <f t="shared" si="19"/>
        <v/>
      </c>
      <c r="AC32" s="12" t="str">
        <f>IFERROR((O32/D32)^(1/11)-1,"")</f>
        <v/>
      </c>
      <c r="AD32" s="12" t="str">
        <f>IFERROR((T32/D32)^(1/16)-1,"")</f>
        <v/>
      </c>
      <c r="AE32" s="12" t="str">
        <f>IFERROR((Y32/D32)^(1/21)-1,"")</f>
        <v/>
      </c>
      <c r="AG32" s="12"/>
      <c r="AH32" s="12"/>
      <c r="AK32" t="e">
        <f t="shared" si="1"/>
        <v>#N/A</v>
      </c>
      <c r="AL32" t="e">
        <f t="shared" si="2"/>
        <v>#N/A</v>
      </c>
      <c r="AM32" t="e">
        <f t="shared" si="3"/>
        <v>#N/A</v>
      </c>
      <c r="AN32" s="286" t="e">
        <f t="shared" si="4"/>
        <v>#N/A</v>
      </c>
      <c r="AO32" s="67"/>
    </row>
    <row r="33" spans="2:42" hidden="1" outlineLevel="1" x14ac:dyDescent="0.2">
      <c r="B33" s="5" t="s">
        <v>248</v>
      </c>
      <c r="C33" s="5"/>
      <c r="D33" s="60">
        <f>SUM(D31:D32)</f>
        <v>-2</v>
      </c>
      <c r="E33" s="60">
        <f t="shared" ref="E33:Y33" si="26">SUM(E31:E32)</f>
        <v>-2.2505000000000011</v>
      </c>
      <c r="F33" s="60">
        <f t="shared" si="26"/>
        <v>-2.254010000000001</v>
      </c>
      <c r="G33" s="60">
        <f t="shared" si="26"/>
        <v>-2.2601728750000003</v>
      </c>
      <c r="H33" s="60">
        <f t="shared" si="26"/>
        <v>-2.2731815337500003</v>
      </c>
      <c r="I33" s="60">
        <f t="shared" si="26"/>
        <v>-1.8820738980362497</v>
      </c>
      <c r="J33" s="60">
        <f t="shared" si="26"/>
        <v>-1.7540013258038181</v>
      </c>
      <c r="K33" s="60">
        <f t="shared" si="26"/>
        <v>-1.5992561498878</v>
      </c>
      <c r="L33" s="60">
        <f t="shared" si="26"/>
        <v>-1.4150069686014295</v>
      </c>
      <c r="M33" s="60">
        <f t="shared" si="26"/>
        <v>-1.1981766487157761</v>
      </c>
      <c r="N33" s="60">
        <f t="shared" si="26"/>
        <v>-0.94542290929218464</v>
      </c>
      <c r="O33" s="60">
        <f t="shared" si="26"/>
        <v>-0.6531174468078178</v>
      </c>
      <c r="P33" s="60">
        <f t="shared" si="26"/>
        <v>-0.3173234950976056</v>
      </c>
      <c r="Q33" s="60">
        <f t="shared" si="26"/>
        <v>6.6228294005568955E-2</v>
      </c>
      <c r="R33" s="60">
        <f t="shared" si="26"/>
        <v>0.50042727891737848</v>
      </c>
      <c r="S33" s="60">
        <f t="shared" si="26"/>
        <v>0.98056758949267131</v>
      </c>
      <c r="T33" s="60">
        <f t="shared" si="26"/>
        <v>1.5104727070664601</v>
      </c>
      <c r="U33" s="60">
        <f t="shared" si="26"/>
        <v>2.0942579350196109</v>
      </c>
      <c r="V33" s="60">
        <f t="shared" si="26"/>
        <v>2.7363517923607406</v>
      </c>
      <c r="W33" s="60">
        <f t="shared" si="26"/>
        <v>3.4415189434908244</v>
      </c>
      <c r="X33" s="60">
        <f t="shared" si="26"/>
        <v>4.2148847732284622</v>
      </c>
      <c r="Y33" s="60">
        <f t="shared" si="26"/>
        <v>5.0619617238710841</v>
      </c>
      <c r="Z33" s="5"/>
      <c r="AA33" s="14">
        <f t="shared" si="18"/>
        <v>0.12525000000000053</v>
      </c>
      <c r="AB33" s="14">
        <f t="shared" si="19"/>
        <v>-2.1637074637242071E-2</v>
      </c>
      <c r="AC33" s="14">
        <f>IFERROR((O33/D33)^(1/11)-1,"")</f>
        <v>-9.6736080863929819E-2</v>
      </c>
      <c r="AD33" s="14" t="str">
        <f>IFERROR((T33/D33)^(1/16)-1,"")</f>
        <v/>
      </c>
      <c r="AE33" s="14">
        <f>IFERROR((Y33/D33)^(1/21)-1,"")</f>
        <v>-2.0452116252827395</v>
      </c>
      <c r="AG33" s="12"/>
      <c r="AH33" s="12"/>
      <c r="AK33" t="e">
        <f t="shared" si="1"/>
        <v>#N/A</v>
      </c>
      <c r="AL33" t="e">
        <f t="shared" si="2"/>
        <v>#N/A</v>
      </c>
      <c r="AM33" t="e">
        <f t="shared" si="3"/>
        <v>#N/A</v>
      </c>
      <c r="AN33" s="286" t="e">
        <f t="shared" si="4"/>
        <v>#N/A</v>
      </c>
      <c r="AO33" s="25"/>
    </row>
    <row r="34" spans="2:42" hidden="1" outlineLevel="1" x14ac:dyDescent="0.2">
      <c r="B34" s="48" t="s">
        <v>250</v>
      </c>
      <c r="C34" s="48"/>
      <c r="D34" s="47">
        <f t="shared" ref="D34:Y34" si="27">-D19*D$22/10^3</f>
        <v>0</v>
      </c>
      <c r="E34" s="47">
        <f t="shared" si="27"/>
        <v>0</v>
      </c>
      <c r="F34" s="47">
        <f t="shared" si="27"/>
        <v>0</v>
      </c>
      <c r="G34" s="47">
        <f t="shared" si="27"/>
        <v>0</v>
      </c>
      <c r="H34" s="47">
        <f t="shared" si="27"/>
        <v>0</v>
      </c>
      <c r="I34" s="47">
        <f t="shared" si="27"/>
        <v>0</v>
      </c>
      <c r="J34" s="47">
        <f t="shared" si="27"/>
        <v>0</v>
      </c>
      <c r="K34" s="47">
        <f t="shared" si="27"/>
        <v>0</v>
      </c>
      <c r="L34" s="47">
        <f t="shared" si="27"/>
        <v>0</v>
      </c>
      <c r="M34" s="47">
        <f t="shared" si="27"/>
        <v>0</v>
      </c>
      <c r="N34" s="47">
        <f t="shared" si="27"/>
        <v>0</v>
      </c>
      <c r="O34" s="47">
        <f t="shared" si="27"/>
        <v>0</v>
      </c>
      <c r="P34" s="47">
        <f t="shared" si="27"/>
        <v>0</v>
      </c>
      <c r="Q34" s="47">
        <f t="shared" si="27"/>
        <v>-4.9671220504176709E-2</v>
      </c>
      <c r="R34" s="47">
        <f t="shared" si="27"/>
        <v>-0.37532045918803392</v>
      </c>
      <c r="S34" s="47">
        <f t="shared" si="27"/>
        <v>-0.73542569211950337</v>
      </c>
      <c r="T34" s="47">
        <f t="shared" si="27"/>
        <v>-1.132854530299845</v>
      </c>
      <c r="U34" s="47">
        <f t="shared" si="27"/>
        <v>-1.5706934512647084</v>
      </c>
      <c r="V34" s="47">
        <f t="shared" si="27"/>
        <v>-2.0522638442705561</v>
      </c>
      <c r="W34" s="47">
        <f t="shared" si="27"/>
        <v>-2.5811392076181185</v>
      </c>
      <c r="X34" s="47">
        <f t="shared" si="27"/>
        <v>-3.1611635799213467</v>
      </c>
      <c r="Y34" s="47">
        <f t="shared" si="27"/>
        <v>-3.7964712929033131</v>
      </c>
      <c r="AA34" s="12" t="str">
        <f t="shared" si="18"/>
        <v/>
      </c>
      <c r="AB34" s="12" t="str">
        <f t="shared" si="19"/>
        <v/>
      </c>
      <c r="AC34" s="12" t="str">
        <f>IFERROR((O34/D34)^(1/11)-1,"")</f>
        <v/>
      </c>
      <c r="AD34" s="12" t="str">
        <f>IFERROR((T34/D34)^(1/16)-1,"")</f>
        <v/>
      </c>
      <c r="AE34" s="12" t="str">
        <f>IFERROR((Y34/D34)^(1/21)-1,"")</f>
        <v/>
      </c>
      <c r="AG34" s="12"/>
      <c r="AH34" s="12"/>
      <c r="AK34" s="64" t="e">
        <f t="shared" si="1"/>
        <v>#N/A</v>
      </c>
      <c r="AL34" t="e">
        <f t="shared" si="2"/>
        <v>#N/A</v>
      </c>
      <c r="AM34" s="64" t="e">
        <f t="shared" si="3"/>
        <v>#N/A</v>
      </c>
      <c r="AN34" s="287" t="e">
        <f t="shared" si="4"/>
        <v>#N/A</v>
      </c>
      <c r="AO34" s="64"/>
      <c r="AP34" s="65"/>
    </row>
    <row r="35" spans="2:42" hidden="1" outlineLevel="1" x14ac:dyDescent="0.2">
      <c r="B35" s="48" t="s">
        <v>251</v>
      </c>
      <c r="C35" s="48"/>
      <c r="D35" s="47">
        <f t="shared" ref="D35:Y35" si="28">-D20*D$22/10^3</f>
        <v>0</v>
      </c>
      <c r="E35" s="47">
        <f t="shared" si="28"/>
        <v>0</v>
      </c>
      <c r="F35" s="47">
        <f t="shared" si="28"/>
        <v>0</v>
      </c>
      <c r="G35" s="47">
        <f t="shared" si="28"/>
        <v>0</v>
      </c>
      <c r="H35" s="47">
        <f t="shared" si="28"/>
        <v>0</v>
      </c>
      <c r="I35" s="47">
        <f t="shared" si="28"/>
        <v>0</v>
      </c>
      <c r="J35" s="47">
        <f t="shared" si="28"/>
        <v>0</v>
      </c>
      <c r="K35" s="47">
        <f t="shared" si="28"/>
        <v>0</v>
      </c>
      <c r="L35" s="47">
        <f t="shared" si="28"/>
        <v>0</v>
      </c>
      <c r="M35" s="47">
        <f t="shared" si="28"/>
        <v>0</v>
      </c>
      <c r="N35" s="47">
        <f t="shared" si="28"/>
        <v>0</v>
      </c>
      <c r="O35" s="47">
        <f t="shared" si="28"/>
        <v>0</v>
      </c>
      <c r="P35" s="47">
        <f t="shared" si="28"/>
        <v>0</v>
      </c>
      <c r="Q35" s="47">
        <f t="shared" si="28"/>
        <v>0</v>
      </c>
      <c r="R35" s="47">
        <f t="shared" si="28"/>
        <v>0</v>
      </c>
      <c r="S35" s="47">
        <f t="shared" si="28"/>
        <v>0</v>
      </c>
      <c r="T35" s="47">
        <f t="shared" si="28"/>
        <v>0</v>
      </c>
      <c r="U35" s="47">
        <f t="shared" si="28"/>
        <v>0</v>
      </c>
      <c r="V35" s="47">
        <f t="shared" si="28"/>
        <v>0</v>
      </c>
      <c r="W35" s="47">
        <f t="shared" si="28"/>
        <v>0</v>
      </c>
      <c r="X35" s="47">
        <f t="shared" si="28"/>
        <v>0</v>
      </c>
      <c r="Y35" s="47">
        <f t="shared" si="28"/>
        <v>0</v>
      </c>
      <c r="AG35" s="12"/>
      <c r="AH35" s="12"/>
      <c r="AK35" s="64" t="e">
        <f t="shared" si="1"/>
        <v>#N/A</v>
      </c>
      <c r="AL35" t="e">
        <f t="shared" si="2"/>
        <v>#N/A</v>
      </c>
      <c r="AM35" s="64" t="e">
        <f t="shared" si="3"/>
        <v>#N/A</v>
      </c>
      <c r="AN35" s="287" t="e">
        <f t="shared" si="4"/>
        <v>#N/A</v>
      </c>
      <c r="AO35" s="64"/>
      <c r="AP35" s="65"/>
    </row>
    <row r="36" spans="2:42" hidden="1" outlineLevel="1" x14ac:dyDescent="0.2">
      <c r="B36" s="48" t="s">
        <v>252</v>
      </c>
      <c r="C36" s="48"/>
      <c r="D36" s="50">
        <f>-D33-D34-D35</f>
        <v>2</v>
      </c>
      <c r="E36" s="50">
        <f t="shared" ref="E36:Y36" si="29">-E33-E34-E35</f>
        <v>2.2505000000000011</v>
      </c>
      <c r="F36" s="50">
        <f t="shared" si="29"/>
        <v>2.254010000000001</v>
      </c>
      <c r="G36" s="50">
        <f t="shared" si="29"/>
        <v>2.2601728750000003</v>
      </c>
      <c r="H36" s="50">
        <f t="shared" si="29"/>
        <v>2.2731815337500003</v>
      </c>
      <c r="I36" s="50">
        <f t="shared" si="29"/>
        <v>1.8820738980362497</v>
      </c>
      <c r="J36" s="50">
        <f t="shared" si="29"/>
        <v>1.7540013258038181</v>
      </c>
      <c r="K36" s="50">
        <f t="shared" si="29"/>
        <v>1.5992561498878</v>
      </c>
      <c r="L36" s="50">
        <f t="shared" si="29"/>
        <v>1.4150069686014295</v>
      </c>
      <c r="M36" s="50">
        <f t="shared" si="29"/>
        <v>1.1981766487157761</v>
      </c>
      <c r="N36" s="50">
        <f t="shared" si="29"/>
        <v>0.94542290929218464</v>
      </c>
      <c r="O36" s="50">
        <f t="shared" si="29"/>
        <v>0.6531174468078178</v>
      </c>
      <c r="P36" s="50">
        <f t="shared" si="29"/>
        <v>0.3173234950976056</v>
      </c>
      <c r="Q36" s="50">
        <f t="shared" si="29"/>
        <v>-1.6557073501392246E-2</v>
      </c>
      <c r="R36" s="50">
        <f t="shared" si="29"/>
        <v>-0.12510681972934456</v>
      </c>
      <c r="S36" s="50">
        <f t="shared" si="29"/>
        <v>-0.24514189737316794</v>
      </c>
      <c r="T36" s="50">
        <f t="shared" si="29"/>
        <v>-0.37761817676661513</v>
      </c>
      <c r="U36" s="50">
        <f t="shared" si="29"/>
        <v>-0.5235644837549025</v>
      </c>
      <c r="V36" s="50">
        <f t="shared" si="29"/>
        <v>-0.68408794809018447</v>
      </c>
      <c r="W36" s="50">
        <f t="shared" si="29"/>
        <v>-0.86037973587270589</v>
      </c>
      <c r="X36" s="50">
        <f t="shared" si="29"/>
        <v>-1.0537211933071156</v>
      </c>
      <c r="Y36" s="50">
        <f t="shared" si="29"/>
        <v>-1.265490430967771</v>
      </c>
      <c r="AA36" s="12">
        <f>IFERROR((E36/D36)-1,"")</f>
        <v>0.12525000000000053</v>
      </c>
      <c r="AB36" s="12">
        <f>IFERROR((J36/D36)^(1/6)-1,"")</f>
        <v>-2.1637074637242071E-2</v>
      </c>
      <c r="AC36" s="12">
        <f>IFERROR((O36/D36)^(1/11)-1,"")</f>
        <v>-9.6736080863929819E-2</v>
      </c>
      <c r="AD36" s="12" t="str">
        <f>IFERROR((T36/D36)^(1/16)-1,"")</f>
        <v/>
      </c>
      <c r="AE36" s="12">
        <f>IFERROR((Y36/D36)^(1/21)-1,"")</f>
        <v>-1.9784411470459413</v>
      </c>
      <c r="AG36" s="12"/>
      <c r="AH36" s="12"/>
      <c r="AK36" s="64" t="e">
        <f t="shared" si="1"/>
        <v>#N/A</v>
      </c>
      <c r="AL36" t="e">
        <f t="shared" si="2"/>
        <v>#N/A</v>
      </c>
      <c r="AM36" s="64" t="e">
        <f t="shared" si="3"/>
        <v>#N/A</v>
      </c>
      <c r="AN36" s="287" t="e">
        <f t="shared" si="4"/>
        <v>#N/A</v>
      </c>
      <c r="AO36" s="64"/>
      <c r="AP36" s="65"/>
    </row>
    <row r="37" spans="2:42" hidden="1" outlineLevel="1" collapsed="1" x14ac:dyDescent="0.2">
      <c r="B37" s="51" t="s">
        <v>253</v>
      </c>
      <c r="C37" s="51"/>
      <c r="D37" s="60">
        <f>D33+D34+D35+D36</f>
        <v>0</v>
      </c>
      <c r="E37" s="60">
        <f t="shared" ref="E37:Y37" si="30">E33+E34+E35+E36</f>
        <v>0</v>
      </c>
      <c r="F37" s="60">
        <f t="shared" si="30"/>
        <v>0</v>
      </c>
      <c r="G37" s="60">
        <f t="shared" si="30"/>
        <v>0</v>
      </c>
      <c r="H37" s="60">
        <f t="shared" si="30"/>
        <v>0</v>
      </c>
      <c r="I37" s="60">
        <f t="shared" si="30"/>
        <v>0</v>
      </c>
      <c r="J37" s="60">
        <f t="shared" si="30"/>
        <v>0</v>
      </c>
      <c r="K37" s="60">
        <f t="shared" si="30"/>
        <v>0</v>
      </c>
      <c r="L37" s="60">
        <f t="shared" si="30"/>
        <v>0</v>
      </c>
      <c r="M37" s="60">
        <f t="shared" si="30"/>
        <v>0</v>
      </c>
      <c r="N37" s="60">
        <f t="shared" si="30"/>
        <v>0</v>
      </c>
      <c r="O37" s="60">
        <f t="shared" si="30"/>
        <v>0</v>
      </c>
      <c r="P37" s="60">
        <f t="shared" si="30"/>
        <v>0</v>
      </c>
      <c r="Q37" s="60">
        <f t="shared" si="30"/>
        <v>0</v>
      </c>
      <c r="R37" s="60">
        <f t="shared" si="30"/>
        <v>0</v>
      </c>
      <c r="S37" s="60">
        <f t="shared" si="30"/>
        <v>0</v>
      </c>
      <c r="T37" s="60">
        <f t="shared" si="30"/>
        <v>0</v>
      </c>
      <c r="U37" s="60">
        <f t="shared" si="30"/>
        <v>0</v>
      </c>
      <c r="V37" s="60">
        <f t="shared" si="30"/>
        <v>0</v>
      </c>
      <c r="W37" s="60">
        <f t="shared" si="30"/>
        <v>0</v>
      </c>
      <c r="X37" s="60">
        <f t="shared" si="30"/>
        <v>0</v>
      </c>
      <c r="Y37" s="60">
        <f t="shared" si="30"/>
        <v>0</v>
      </c>
      <c r="Z37" s="3"/>
      <c r="AA37" s="14" t="str">
        <f>IFERROR((E37/D37)-1,"")</f>
        <v/>
      </c>
      <c r="AB37" s="14" t="str">
        <f>IFERROR((J37/D37)^(1/6)-1,"")</f>
        <v/>
      </c>
      <c r="AC37" s="14" t="str">
        <f>IFERROR((O37/D37)^(1/11)-1,"")</f>
        <v/>
      </c>
      <c r="AD37" s="14" t="str">
        <f>IFERROR((T37/D37)^(1/16)-1,"")</f>
        <v/>
      </c>
      <c r="AE37" s="14" t="str">
        <f>IFERROR((Y37/D37)^(1/21)-1,"")</f>
        <v/>
      </c>
      <c r="AG37" s="12"/>
      <c r="AH37" s="12"/>
      <c r="AK37" s="64" t="e">
        <f t="shared" si="1"/>
        <v>#N/A</v>
      </c>
      <c r="AL37" t="e">
        <f t="shared" si="2"/>
        <v>#N/A</v>
      </c>
      <c r="AM37" s="64" t="e">
        <f t="shared" si="3"/>
        <v>#N/A</v>
      </c>
      <c r="AN37" s="287" t="e">
        <f t="shared" si="4"/>
        <v>#N/A</v>
      </c>
      <c r="AO37" s="64"/>
      <c r="AP37" s="65"/>
    </row>
    <row r="38" spans="2:42" collapsed="1" x14ac:dyDescent="0.2">
      <c r="B38" s="213" t="s">
        <v>254</v>
      </c>
      <c r="C38" s="213"/>
      <c r="D38" s="214"/>
      <c r="E38" s="214"/>
      <c r="F38" s="214"/>
      <c r="G38" s="214"/>
      <c r="H38" s="214"/>
      <c r="I38" s="214"/>
      <c r="J38" s="214"/>
      <c r="K38" s="214"/>
      <c r="L38" s="214"/>
      <c r="M38" s="214"/>
      <c r="N38" s="214"/>
      <c r="O38" s="214"/>
      <c r="P38" s="214"/>
      <c r="Q38" s="214"/>
      <c r="R38" s="214"/>
      <c r="S38" s="214"/>
      <c r="T38" s="214"/>
      <c r="U38" s="214"/>
      <c r="V38" s="214"/>
      <c r="W38" s="214"/>
      <c r="X38" s="214"/>
      <c r="Y38" s="214"/>
      <c r="AE38" s="214"/>
      <c r="AJ38" s="11">
        <f>AJ31+1</f>
        <v>2044</v>
      </c>
      <c r="AK38" s="236">
        <f t="shared" si="1"/>
        <v>63.196162363373261</v>
      </c>
      <c r="AL38" s="236">
        <f t="shared" si="2"/>
        <v>-50.916065922597241</v>
      </c>
      <c r="AM38" s="236">
        <f t="shared" si="3"/>
        <v>12.28009644077602</v>
      </c>
      <c r="AN38" s="284">
        <f t="shared" si="4"/>
        <v>5.5587691846725331</v>
      </c>
      <c r="AO38" s="42"/>
    </row>
    <row r="39" spans="2:42" x14ac:dyDescent="0.2">
      <c r="B39" t="s">
        <v>50</v>
      </c>
      <c r="D39" s="69">
        <f>D24*Macro!C20/10^3</f>
        <v>0</v>
      </c>
      <c r="E39" s="47">
        <f>E24*Macro!D20/10^3</f>
        <v>9.7500000000000003E-2</v>
      </c>
      <c r="F39" s="50">
        <f>F24*Macro!E20/10^3</f>
        <v>0.28762500000000002</v>
      </c>
      <c r="G39" s="50">
        <f>G24*Macro!F20/10^3</f>
        <v>0.62558437499999986</v>
      </c>
      <c r="H39" s="50">
        <f>H24*Macro!G20/10^3</f>
        <v>1.1886103124999998</v>
      </c>
      <c r="I39" s="50">
        <f>I24*Macro!H20/10^3</f>
        <v>1.6640544374999995</v>
      </c>
      <c r="J39" s="50">
        <f>J24*Macro!I20/10^3</f>
        <v>2.2880748515624991</v>
      </c>
      <c r="K39" s="50">
        <f>K24*Macro!J20/10^3</f>
        <v>3.0889010496093734</v>
      </c>
      <c r="L39" s="50">
        <f>L24*Macro!K20/10^3</f>
        <v>4.0927938907324188</v>
      </c>
      <c r="M39" s="50">
        <f>M24*Macro!L20/10^3</f>
        <v>5.3206320579521433</v>
      </c>
      <c r="N39" s="50">
        <f>N24*Macro!M20/10^3</f>
        <v>6.7838058738889826</v>
      </c>
      <c r="O39" s="50">
        <f>O24*Macro!N20/10^3</f>
        <v>8.4797573423612267</v>
      </c>
      <c r="P39" s="50">
        <f>P24*Macro!O20/10^3</f>
        <v>10.387702744392502</v>
      </c>
      <c r="Q39" s="50">
        <f>Q24*Macro!P20/10^3</f>
        <v>12.514914513775178</v>
      </c>
      <c r="R39" s="50">
        <f>R24*Macro!Q20/10^3</f>
        <v>15.393217875718246</v>
      </c>
      <c r="S39" s="50">
        <f>S24*Macro!R20/10^3</f>
        <v>19.2072871429814</v>
      </c>
      <c r="T39" s="50">
        <f>T24*Macro!S20/10^3</f>
        <v>24.181599101877524</v>
      </c>
      <c r="U39" s="50">
        <f>U24*Macro!T20/10^3</f>
        <v>30.588612373517741</v>
      </c>
      <c r="V39" s="50">
        <f>V24*Macro!U20/10^3</f>
        <v>38.758598692491837</v>
      </c>
      <c r="W39" s="50">
        <f>W24*Macro!V20/10^3</f>
        <v>49.091457638608325</v>
      </c>
      <c r="X39" s="50">
        <f>X24*Macro!W20/10^3</f>
        <v>62.070912746251345</v>
      </c>
      <c r="Y39" s="50">
        <f>Y24*Macro!X20/10^3</f>
        <v>78.281566588404928</v>
      </c>
      <c r="AA39" s="12" t="str">
        <f t="shared" ref="AA39:AA44" si="31">IFERROR((E39/D39)-1,"")</f>
        <v/>
      </c>
      <c r="AB39" s="12" t="str">
        <f t="shared" ref="AB39:AB44" si="32">IFERROR((J39/D39)^(1/6)-1,"")</f>
        <v/>
      </c>
      <c r="AC39" s="12" t="str">
        <f t="shared" ref="AC39:AC44" si="33">IFERROR((O39/D39)^(1/11)-1,"")</f>
        <v/>
      </c>
      <c r="AD39" s="12" t="str">
        <f t="shared" ref="AD39:AD44" si="34">IFERROR((T39/D39)^(1/16)-1,"")</f>
        <v/>
      </c>
      <c r="AE39" s="12" t="str">
        <f t="shared" ref="AE39:AE44" si="35">IFERROR((Y39/D39)^(1/21)-1,"")</f>
        <v/>
      </c>
      <c r="AJ39" s="188">
        <f>AJ38+1</f>
        <v>2045</v>
      </c>
      <c r="AK39" s="237">
        <f t="shared" si="1"/>
        <v>79.442757839488976</v>
      </c>
      <c r="AL39" s="237">
        <f t="shared" si="2"/>
        <v>-49.650575491629468</v>
      </c>
      <c r="AM39" s="237">
        <f t="shared" si="3"/>
        <v>29.792182347859509</v>
      </c>
      <c r="AN39" s="285">
        <f t="shared" si="4"/>
        <v>5.8420971115518769</v>
      </c>
    </row>
    <row r="40" spans="2:42" x14ac:dyDescent="0.2">
      <c r="B40" t="s">
        <v>42</v>
      </c>
      <c r="D40" s="62">
        <f>O6</f>
        <v>0.6</v>
      </c>
      <c r="E40" s="50">
        <f>D40*(1+Macro!D69)</f>
        <v>0.61916461916461907</v>
      </c>
      <c r="F40" s="50">
        <f>E40*(1+Macro!E69)</f>
        <v>0.63894137604211299</v>
      </c>
      <c r="G40" s="50">
        <f>F40*(1+Macro!F69)</f>
        <v>0.65934982294272093</v>
      </c>
      <c r="H40" s="50">
        <f>G40*(1+Macro!G69)</f>
        <v>0.68041013669764805</v>
      </c>
      <c r="I40" s="50">
        <f>H40*(1+Macro!H69)</f>
        <v>0.70214313860690947</v>
      </c>
      <c r="J40" s="50">
        <f>I40*(1+Macro!I69)</f>
        <v>0.72457031502432911</v>
      </c>
      <c r="K40" s="50">
        <f>J40*(1+Macro!J69)</f>
        <v>0.7477138386000447</v>
      </c>
      <c r="L40" s="50">
        <f>K40*(1+Macro!K69)</f>
        <v>0.77159659020152027</v>
      </c>
      <c r="M40" s="50">
        <f>L40*(1+Macro!L69)</f>
        <v>0.79624218153473825</v>
      </c>
      <c r="N40" s="50">
        <f>M40*(1+Macro!M69)</f>
        <v>0.82167497848793614</v>
      </c>
      <c r="O40" s="50">
        <f>N40*(1+Macro!N69)</f>
        <v>0.84792012522096594</v>
      </c>
      <c r="P40" s="50">
        <f>O40*(1+Macro!O69)</f>
        <v>0.87500356902409249</v>
      </c>
      <c r="Q40" s="50">
        <f>P40*(1+Macro!P69)</f>
        <v>0.90295208597080789</v>
      </c>
      <c r="R40" s="50">
        <f>Q40*(1+Macro!Q69)</f>
        <v>0.93179330739002275</v>
      </c>
      <c r="S40" s="50">
        <f>R40*(1+Macro!R69)</f>
        <v>0.9615557471838071</v>
      </c>
      <c r="T40" s="50">
        <f>S40*(1+Macro!S69)</f>
        <v>0.99226883001768784</v>
      </c>
      <c r="U40" s="50">
        <f>T40*(1+Macro!T69)</f>
        <v>1.0239629204113732</v>
      </c>
      <c r="V40" s="50">
        <f>U40*(1+Macro!U69)</f>
        <v>1.056669352758665</v>
      </c>
      <c r="W40" s="50">
        <f>V40*(1+Macro!V69)</f>
        <v>1.090420462306239</v>
      </c>
      <c r="X40" s="50">
        <f>W40*(1+Macro!W69)</f>
        <v>1.1252496171219173</v>
      </c>
      <c r="Y40" s="50">
        <f>X40*(1+Macro!X69)</f>
        <v>1.1611912510840423</v>
      </c>
      <c r="AA40" s="12">
        <f t="shared" si="31"/>
        <v>3.1941031941031817E-2</v>
      </c>
      <c r="AB40" s="12">
        <f t="shared" si="32"/>
        <v>3.1941031941031817E-2</v>
      </c>
      <c r="AC40" s="12">
        <f t="shared" si="33"/>
        <v>3.1941031941031817E-2</v>
      </c>
      <c r="AD40" s="12">
        <f t="shared" si="34"/>
        <v>3.1941031941031817E-2</v>
      </c>
      <c r="AE40" s="12">
        <f t="shared" si="35"/>
        <v>3.1941031941031817E-2</v>
      </c>
      <c r="AJ40" s="74"/>
      <c r="AK40" s="74"/>
    </row>
    <row r="41" spans="2:42" hidden="1" outlineLevel="1" x14ac:dyDescent="0.2">
      <c r="B41" t="s">
        <v>46</v>
      </c>
      <c r="D41" s="62"/>
      <c r="E41" s="50"/>
      <c r="F41" s="50"/>
      <c r="G41" s="50"/>
      <c r="H41" s="50"/>
      <c r="I41" s="50"/>
      <c r="J41" s="50"/>
      <c r="K41" s="50"/>
      <c r="L41" s="50"/>
      <c r="M41" s="50"/>
      <c r="N41" s="50"/>
      <c r="O41" s="50"/>
      <c r="P41" s="50"/>
      <c r="Q41" s="50"/>
      <c r="R41" s="50"/>
      <c r="S41" s="50"/>
      <c r="T41" s="50"/>
      <c r="U41" s="50"/>
      <c r="V41" s="50"/>
      <c r="W41" s="50"/>
      <c r="X41" s="50"/>
      <c r="Y41" s="50"/>
      <c r="AA41" s="12" t="str">
        <f t="shared" si="31"/>
        <v/>
      </c>
      <c r="AB41" s="12" t="str">
        <f t="shared" si="32"/>
        <v/>
      </c>
      <c r="AC41" s="12" t="str">
        <f t="shared" si="33"/>
        <v/>
      </c>
      <c r="AD41" s="12" t="str">
        <f t="shared" si="34"/>
        <v/>
      </c>
      <c r="AE41" s="12" t="str">
        <f t="shared" si="35"/>
        <v/>
      </c>
    </row>
    <row r="42" spans="2:42" hidden="1" outlineLevel="1" x14ac:dyDescent="0.2">
      <c r="B42" t="s">
        <v>255</v>
      </c>
      <c r="D42" s="62"/>
      <c r="E42" s="50"/>
      <c r="F42" s="50"/>
      <c r="G42" s="50"/>
      <c r="H42" s="50"/>
      <c r="I42" s="50"/>
      <c r="J42" s="50"/>
      <c r="K42" s="50"/>
      <c r="L42" s="50"/>
      <c r="M42" s="50"/>
      <c r="N42" s="50"/>
      <c r="O42" s="50"/>
      <c r="P42" s="50"/>
      <c r="Q42" s="50"/>
      <c r="R42" s="50"/>
      <c r="S42" s="50"/>
      <c r="T42" s="50"/>
      <c r="U42" s="50"/>
      <c r="V42" s="50"/>
      <c r="W42" s="50"/>
      <c r="X42" s="50"/>
      <c r="Y42" s="50"/>
      <c r="AA42" s="12" t="str">
        <f t="shared" si="31"/>
        <v/>
      </c>
      <c r="AB42" s="12" t="str">
        <f t="shared" si="32"/>
        <v/>
      </c>
      <c r="AC42" s="12" t="str">
        <f t="shared" si="33"/>
        <v/>
      </c>
      <c r="AD42" s="12" t="str">
        <f t="shared" si="34"/>
        <v/>
      </c>
      <c r="AE42" s="12" t="str">
        <f t="shared" si="35"/>
        <v/>
      </c>
    </row>
    <row r="43" spans="2:42" hidden="1" outlineLevel="1" x14ac:dyDescent="0.2">
      <c r="B43" t="s">
        <v>53</v>
      </c>
      <c r="D43" s="62"/>
      <c r="E43" s="50"/>
      <c r="F43" s="50"/>
      <c r="G43" s="50"/>
      <c r="H43" s="50"/>
      <c r="I43" s="50"/>
      <c r="J43" s="50"/>
      <c r="K43" s="50"/>
      <c r="L43" s="50"/>
      <c r="M43" s="50"/>
      <c r="N43" s="50"/>
      <c r="O43" s="50"/>
      <c r="P43" s="50"/>
      <c r="Q43" s="50"/>
      <c r="R43" s="50"/>
      <c r="S43" s="50"/>
      <c r="T43" s="50"/>
      <c r="U43" s="50"/>
      <c r="V43" s="50"/>
      <c r="W43" s="50"/>
      <c r="X43" s="50"/>
      <c r="Y43" s="50"/>
      <c r="AA43" s="12" t="str">
        <f t="shared" si="31"/>
        <v/>
      </c>
      <c r="AB43" s="12" t="str">
        <f t="shared" si="32"/>
        <v/>
      </c>
      <c r="AC43" s="12" t="str">
        <f t="shared" si="33"/>
        <v/>
      </c>
      <c r="AD43" s="12" t="str">
        <f t="shared" si="34"/>
        <v/>
      </c>
      <c r="AE43" s="12" t="str">
        <f t="shared" si="35"/>
        <v/>
      </c>
    </row>
    <row r="44" spans="2:42" collapsed="1" x14ac:dyDescent="0.2">
      <c r="B44" s="134" t="s">
        <v>256</v>
      </c>
      <c r="C44" s="134"/>
      <c r="D44" s="250">
        <f>SUM(D39:D43)</f>
        <v>0.6</v>
      </c>
      <c r="E44" s="250">
        <f t="shared" ref="E44:Y44" si="36">SUM(E39:E43)</f>
        <v>0.7166646191646191</v>
      </c>
      <c r="F44" s="250">
        <f t="shared" si="36"/>
        <v>0.926566376042113</v>
      </c>
      <c r="G44" s="250">
        <f t="shared" si="36"/>
        <v>1.2849341979427207</v>
      </c>
      <c r="H44" s="250">
        <f t="shared" si="36"/>
        <v>1.8690204491976479</v>
      </c>
      <c r="I44" s="250">
        <f t="shared" si="36"/>
        <v>2.366197576106909</v>
      </c>
      <c r="J44" s="250">
        <f t="shared" si="36"/>
        <v>3.0126451665868283</v>
      </c>
      <c r="K44" s="250">
        <f t="shared" si="36"/>
        <v>3.836614888209418</v>
      </c>
      <c r="L44" s="250">
        <f t="shared" si="36"/>
        <v>4.8643904809339391</v>
      </c>
      <c r="M44" s="250">
        <f t="shared" si="36"/>
        <v>6.1168742394868811</v>
      </c>
      <c r="N44" s="250">
        <f t="shared" si="36"/>
        <v>7.6054808523769184</v>
      </c>
      <c r="O44" s="250">
        <f t="shared" si="36"/>
        <v>9.327677467582193</v>
      </c>
      <c r="P44" s="250">
        <f t="shared" si="36"/>
        <v>11.262706313416595</v>
      </c>
      <c r="Q44" s="250">
        <f t="shared" si="36"/>
        <v>13.417866599745986</v>
      </c>
      <c r="R44" s="250">
        <f t="shared" si="36"/>
        <v>16.32501118310827</v>
      </c>
      <c r="S44" s="250">
        <f t="shared" si="36"/>
        <v>20.168842890165209</v>
      </c>
      <c r="T44" s="250">
        <f t="shared" si="36"/>
        <v>25.173867931895213</v>
      </c>
      <c r="U44" s="250">
        <f t="shared" si="36"/>
        <v>31.612575293929115</v>
      </c>
      <c r="V44" s="250">
        <f t="shared" si="36"/>
        <v>39.815268045250505</v>
      </c>
      <c r="W44" s="250">
        <f t="shared" si="36"/>
        <v>50.181878100914567</v>
      </c>
      <c r="X44" s="250">
        <f t="shared" si="36"/>
        <v>63.196162363373261</v>
      </c>
      <c r="Y44" s="250">
        <f t="shared" si="36"/>
        <v>79.442757839488976</v>
      </c>
      <c r="Z44" s="5"/>
      <c r="AA44" s="14">
        <f t="shared" si="31"/>
        <v>0.19444103194103191</v>
      </c>
      <c r="AB44" s="14">
        <f t="shared" si="32"/>
        <v>0.3085775203598633</v>
      </c>
      <c r="AC44" s="14">
        <f t="shared" si="33"/>
        <v>0.28330325935541767</v>
      </c>
      <c r="AD44" s="14">
        <f t="shared" si="34"/>
        <v>0.26306272525693042</v>
      </c>
      <c r="AE44" s="136">
        <f t="shared" si="35"/>
        <v>0.26195248433534157</v>
      </c>
    </row>
    <row r="45" spans="2:42" ht="4" customHeight="1" x14ac:dyDescent="0.2">
      <c r="B45" s="3"/>
      <c r="C45" s="3"/>
      <c r="D45" s="249"/>
      <c r="E45" s="249"/>
      <c r="F45" s="249"/>
      <c r="G45" s="249"/>
      <c r="H45" s="249"/>
      <c r="I45" s="249"/>
      <c r="J45" s="249"/>
      <c r="K45" s="249"/>
      <c r="L45" s="249"/>
      <c r="M45" s="249"/>
      <c r="N45" s="249"/>
      <c r="O45" s="249"/>
      <c r="P45" s="249"/>
      <c r="Q45" s="249"/>
      <c r="R45" s="249"/>
      <c r="S45" s="249"/>
      <c r="T45" s="249"/>
      <c r="U45" s="249"/>
      <c r="V45" s="249"/>
      <c r="W45" s="249"/>
      <c r="X45" s="249"/>
      <c r="Y45" s="249"/>
      <c r="AA45" s="15"/>
      <c r="AB45" s="15"/>
      <c r="AC45" s="15"/>
      <c r="AD45" s="15"/>
      <c r="AE45" s="15"/>
    </row>
    <row r="46" spans="2:42" hidden="1" outlineLevel="1" x14ac:dyDescent="0.2">
      <c r="B46" t="s">
        <v>257</v>
      </c>
      <c r="D46" s="50">
        <f>D6</f>
        <v>-34</v>
      </c>
      <c r="E46" s="50">
        <f>D48</f>
        <v>-36</v>
      </c>
      <c r="F46" s="50">
        <f t="shared" ref="F46:Y46" si="37">E48</f>
        <v>-38.250500000000002</v>
      </c>
      <c r="G46" s="50">
        <f t="shared" si="37"/>
        <v>-40.504510000000003</v>
      </c>
      <c r="H46" s="50">
        <f t="shared" si="37"/>
        <v>-42.764682875000005</v>
      </c>
      <c r="I46" s="50">
        <f t="shared" si="37"/>
        <v>-45.037864408750004</v>
      </c>
      <c r="J46" s="50">
        <f t="shared" si="37"/>
        <v>-46.91993830678625</v>
      </c>
      <c r="K46" s="50">
        <f>J48</f>
        <v>-48.67393963259007</v>
      </c>
      <c r="L46" s="50">
        <f t="shared" si="37"/>
        <v>-50.27319578247787</v>
      </c>
      <c r="M46" s="50">
        <f t="shared" si="37"/>
        <v>-51.688202751079302</v>
      </c>
      <c r="N46" s="50">
        <f t="shared" si="37"/>
        <v>-52.886379399795075</v>
      </c>
      <c r="O46" s="50">
        <f t="shared" si="37"/>
        <v>-53.831802309087259</v>
      </c>
      <c r="P46" s="50">
        <f t="shared" si="37"/>
        <v>-54.484919755895078</v>
      </c>
      <c r="Q46" s="50">
        <f t="shared" si="37"/>
        <v>-54.802243250992682</v>
      </c>
      <c r="R46" s="50">
        <f t="shared" si="37"/>
        <v>-54.785686177491286</v>
      </c>
      <c r="S46" s="50">
        <f t="shared" si="37"/>
        <v>-54.660579357761939</v>
      </c>
      <c r="T46" s="50">
        <f t="shared" si="37"/>
        <v>-54.415437460388773</v>
      </c>
      <c r="U46" s="50">
        <f t="shared" si="37"/>
        <v>-54.037819283622156</v>
      </c>
      <c r="V46" s="50">
        <f t="shared" si="37"/>
        <v>-53.514254799867253</v>
      </c>
      <c r="W46" s="50">
        <f t="shared" si="37"/>
        <v>-52.830166851777065</v>
      </c>
      <c r="X46" s="50">
        <f t="shared" si="37"/>
        <v>-51.96978711590436</v>
      </c>
      <c r="Y46" s="50">
        <f t="shared" si="37"/>
        <v>-50.916065922597241</v>
      </c>
      <c r="AA46" s="12">
        <f>IFERROR((E46/D46)-1,"")</f>
        <v>5.8823529411764719E-2</v>
      </c>
      <c r="AB46" s="12">
        <f>IFERROR((J46/D46)^(1/6)-1,"")</f>
        <v>5.5147285245253475E-2</v>
      </c>
      <c r="AC46" s="12">
        <f>IFERROR((O46/D46)^(1/11)-1,"")</f>
        <v>4.2657852827477694E-2</v>
      </c>
      <c r="AD46" s="12">
        <f>IFERROR((T46/D46)^(1/16)-1,"")</f>
        <v>2.9829197030312393E-2</v>
      </c>
      <c r="AE46" s="12">
        <f>IFERROR((Y46/D46)^(1/21)-1,"")</f>
        <v>1.9415504159090657E-2</v>
      </c>
      <c r="AG46" s="12">
        <f t="shared" ref="AG46:AG47" si="38">D40/D$44</f>
        <v>1</v>
      </c>
      <c r="AH46" s="12">
        <f>Y40/Y$44</f>
        <v>1.4616703682797423E-2</v>
      </c>
      <c r="AL46" s="85"/>
      <c r="AM46" s="85"/>
      <c r="AN46" s="85"/>
      <c r="AO46" s="85"/>
      <c r="AP46" s="73"/>
    </row>
    <row r="47" spans="2:42" hidden="1" outlineLevel="1" x14ac:dyDescent="0.2">
      <c r="B47" s="48" t="s">
        <v>163</v>
      </c>
      <c r="C47" s="48"/>
      <c r="D47" s="50">
        <f t="shared" ref="D47:Y47" si="39">-D36</f>
        <v>-2</v>
      </c>
      <c r="E47" s="50">
        <f t="shared" si="39"/>
        <v>-2.2505000000000011</v>
      </c>
      <c r="F47" s="50">
        <f t="shared" si="39"/>
        <v>-2.254010000000001</v>
      </c>
      <c r="G47" s="50">
        <f t="shared" si="39"/>
        <v>-2.2601728750000003</v>
      </c>
      <c r="H47" s="50">
        <f t="shared" si="39"/>
        <v>-2.2731815337500003</v>
      </c>
      <c r="I47" s="50">
        <f t="shared" si="39"/>
        <v>-1.8820738980362497</v>
      </c>
      <c r="J47" s="50">
        <f t="shared" si="39"/>
        <v>-1.7540013258038181</v>
      </c>
      <c r="K47" s="50">
        <f t="shared" si="39"/>
        <v>-1.5992561498878</v>
      </c>
      <c r="L47" s="50">
        <f t="shared" si="39"/>
        <v>-1.4150069686014295</v>
      </c>
      <c r="M47" s="50">
        <f t="shared" si="39"/>
        <v>-1.1981766487157761</v>
      </c>
      <c r="N47" s="50">
        <f t="shared" si="39"/>
        <v>-0.94542290929218464</v>
      </c>
      <c r="O47" s="50">
        <f t="shared" si="39"/>
        <v>-0.6531174468078178</v>
      </c>
      <c r="P47" s="50">
        <f t="shared" si="39"/>
        <v>-0.3173234950976056</v>
      </c>
      <c r="Q47" s="50">
        <f t="shared" si="39"/>
        <v>1.6557073501392246E-2</v>
      </c>
      <c r="R47" s="50">
        <f t="shared" si="39"/>
        <v>0.12510681972934456</v>
      </c>
      <c r="S47" s="50">
        <f t="shared" si="39"/>
        <v>0.24514189737316794</v>
      </c>
      <c r="T47" s="50">
        <f t="shared" si="39"/>
        <v>0.37761817676661513</v>
      </c>
      <c r="U47" s="50">
        <f t="shared" si="39"/>
        <v>0.5235644837549025</v>
      </c>
      <c r="V47" s="50">
        <f t="shared" si="39"/>
        <v>0.68408794809018447</v>
      </c>
      <c r="W47" s="50">
        <f t="shared" si="39"/>
        <v>0.86037973587270589</v>
      </c>
      <c r="X47" s="50">
        <f t="shared" si="39"/>
        <v>1.0537211933071156</v>
      </c>
      <c r="Y47" s="50">
        <f t="shared" si="39"/>
        <v>1.265490430967771</v>
      </c>
      <c r="AG47" s="12">
        <f t="shared" si="38"/>
        <v>0</v>
      </c>
      <c r="AH47" s="12">
        <f>Y41/Y$44</f>
        <v>0</v>
      </c>
      <c r="AL47" s="64"/>
      <c r="AM47" s="64"/>
      <c r="AN47" s="64"/>
      <c r="AO47" s="64"/>
      <c r="AP47" s="65"/>
    </row>
    <row r="48" spans="2:42" collapsed="1" x14ac:dyDescent="0.2">
      <c r="B48" s="52" t="s">
        <v>258</v>
      </c>
      <c r="C48" s="52"/>
      <c r="D48" s="251">
        <f t="shared" ref="D48:Y48" si="40">SUM(D46:D47)</f>
        <v>-36</v>
      </c>
      <c r="E48" s="251">
        <f t="shared" si="40"/>
        <v>-38.250500000000002</v>
      </c>
      <c r="F48" s="251">
        <f t="shared" si="40"/>
        <v>-40.504510000000003</v>
      </c>
      <c r="G48" s="251">
        <f t="shared" si="40"/>
        <v>-42.764682875000005</v>
      </c>
      <c r="H48" s="251">
        <f t="shared" si="40"/>
        <v>-45.037864408750004</v>
      </c>
      <c r="I48" s="251">
        <f t="shared" si="40"/>
        <v>-46.91993830678625</v>
      </c>
      <c r="J48" s="251">
        <f t="shared" si="40"/>
        <v>-48.67393963259007</v>
      </c>
      <c r="K48" s="251">
        <f t="shared" si="40"/>
        <v>-50.27319578247787</v>
      </c>
      <c r="L48" s="251">
        <f t="shared" si="40"/>
        <v>-51.688202751079302</v>
      </c>
      <c r="M48" s="251">
        <f t="shared" si="40"/>
        <v>-52.886379399795075</v>
      </c>
      <c r="N48" s="251">
        <f t="shared" si="40"/>
        <v>-53.831802309087259</v>
      </c>
      <c r="O48" s="251">
        <f t="shared" si="40"/>
        <v>-54.484919755895078</v>
      </c>
      <c r="P48" s="251">
        <f t="shared" si="40"/>
        <v>-54.802243250992682</v>
      </c>
      <c r="Q48" s="251">
        <f t="shared" si="40"/>
        <v>-54.785686177491286</v>
      </c>
      <c r="R48" s="251">
        <f t="shared" si="40"/>
        <v>-54.660579357761939</v>
      </c>
      <c r="S48" s="251">
        <f t="shared" si="40"/>
        <v>-54.415437460388773</v>
      </c>
      <c r="T48" s="251">
        <f t="shared" si="40"/>
        <v>-54.037819283622156</v>
      </c>
      <c r="U48" s="251">
        <f t="shared" si="40"/>
        <v>-53.514254799867253</v>
      </c>
      <c r="V48" s="251">
        <f t="shared" si="40"/>
        <v>-52.830166851777065</v>
      </c>
      <c r="W48" s="251">
        <f t="shared" si="40"/>
        <v>-51.96978711590436</v>
      </c>
      <c r="X48" s="251">
        <f t="shared" si="40"/>
        <v>-50.916065922597241</v>
      </c>
      <c r="Y48" s="251">
        <f t="shared" si="40"/>
        <v>-49.650575491629468</v>
      </c>
      <c r="Z48" s="3"/>
      <c r="AA48" s="15">
        <f>IFERROR((E48/D48)-1,"")</f>
        <v>6.251388888888898E-2</v>
      </c>
      <c r="AB48" s="15">
        <f>IFERROR((J48/D48)^(1/6)-1,"")</f>
        <v>5.1555824032528452E-2</v>
      </c>
      <c r="AC48" s="15">
        <f>IFERROR((O48/D48)^(1/11)-1,"")</f>
        <v>3.8391814282851655E-2</v>
      </c>
      <c r="AD48" s="15">
        <f>IFERROR((T48/D48)^(1/16)-1,"")</f>
        <v>2.5710277487090316E-2</v>
      </c>
      <c r="AE48" s="137">
        <f>IFERROR((Y48/D48)^(1/21)-1,"")</f>
        <v>1.5426881803173975E-2</v>
      </c>
      <c r="AG48" s="12" t="e">
        <f>#REF!/D$44</f>
        <v>#REF!</v>
      </c>
      <c r="AH48" s="12" t="e">
        <f>#REF!/Y$44</f>
        <v>#REF!</v>
      </c>
      <c r="AL48" s="64"/>
      <c r="AM48" s="64"/>
      <c r="AN48" s="64"/>
      <c r="AO48" s="64"/>
      <c r="AP48" s="65"/>
    </row>
    <row r="49" spans="2:42" x14ac:dyDescent="0.2">
      <c r="B49" s="18" t="s">
        <v>141</v>
      </c>
      <c r="C49" s="18"/>
      <c r="D49" s="70" t="str">
        <f t="shared" ref="D49:Y49" si="41">IFERROR(-D48/D39,"NM")</f>
        <v>NM</v>
      </c>
      <c r="E49" s="70">
        <f t="shared" si="41"/>
        <v>392.31282051282051</v>
      </c>
      <c r="F49" s="70">
        <f t="shared" si="41"/>
        <v>140.82402433724468</v>
      </c>
      <c r="G49" s="70">
        <f t="shared" si="41"/>
        <v>68.359576396069698</v>
      </c>
      <c r="H49" s="70">
        <f t="shared" si="41"/>
        <v>37.89119439324233</v>
      </c>
      <c r="I49" s="70">
        <f t="shared" si="41"/>
        <v>28.196155876532895</v>
      </c>
      <c r="J49" s="70">
        <f t="shared" si="41"/>
        <v>21.272879075328859</v>
      </c>
      <c r="K49" s="70">
        <f t="shared" si="41"/>
        <v>16.275430962359732</v>
      </c>
      <c r="L49" s="70">
        <f t="shared" si="41"/>
        <v>12.629075426475856</v>
      </c>
      <c r="M49" s="70">
        <f t="shared" si="41"/>
        <v>9.9398678246791796</v>
      </c>
      <c r="N49" s="70">
        <f t="shared" si="41"/>
        <v>7.9353394406946469</v>
      </c>
      <c r="O49" s="70">
        <f t="shared" si="41"/>
        <v>6.4252923233677706</v>
      </c>
      <c r="P49" s="70">
        <f t="shared" si="41"/>
        <v>5.2756845858509065</v>
      </c>
      <c r="Q49" s="70">
        <f t="shared" si="41"/>
        <v>4.3776316743665031</v>
      </c>
      <c r="R49" s="70">
        <f t="shared" si="41"/>
        <v>3.5509521010538858</v>
      </c>
      <c r="S49" s="70">
        <f t="shared" si="41"/>
        <v>2.8330621110265906</v>
      </c>
      <c r="T49" s="70">
        <f t="shared" si="41"/>
        <v>2.2346669075092938</v>
      </c>
      <c r="U49" s="70">
        <f t="shared" si="41"/>
        <v>1.7494829169236037</v>
      </c>
      <c r="V49" s="70">
        <f t="shared" si="41"/>
        <v>1.3630566799106469</v>
      </c>
      <c r="W49" s="70">
        <f t="shared" si="41"/>
        <v>1.0586319823396801</v>
      </c>
      <c r="X49" s="70">
        <f t="shared" si="41"/>
        <v>0.82028866130492373</v>
      </c>
      <c r="Y49" s="70">
        <f t="shared" si="41"/>
        <v>0.6342562835090696</v>
      </c>
      <c r="AA49" s="12"/>
      <c r="AB49" s="12"/>
      <c r="AC49" s="12"/>
      <c r="AD49" s="12"/>
      <c r="AE49" s="12"/>
      <c r="AG49" s="12">
        <f t="shared" ref="AG49" si="42">D42/D$44</f>
        <v>0</v>
      </c>
      <c r="AH49" s="12">
        <f>Y42/Y$44</f>
        <v>0</v>
      </c>
      <c r="AL49" s="64"/>
      <c r="AM49" s="64"/>
      <c r="AN49" s="64"/>
      <c r="AO49" s="64"/>
      <c r="AP49" s="65"/>
    </row>
    <row r="50" spans="2:42" ht="4" customHeight="1" x14ac:dyDescent="0.2">
      <c r="B50" s="3"/>
      <c r="C50" s="3"/>
      <c r="D50" s="63"/>
      <c r="E50" s="61"/>
      <c r="F50" s="61"/>
      <c r="G50" s="61"/>
      <c r="H50" s="61"/>
      <c r="I50" s="61"/>
      <c r="J50" s="61"/>
      <c r="K50" s="61"/>
      <c r="L50" s="61"/>
      <c r="M50" s="61"/>
      <c r="N50" s="61"/>
      <c r="O50" s="61"/>
      <c r="P50" s="61"/>
      <c r="Q50" s="61"/>
      <c r="R50" s="61"/>
      <c r="S50" s="61"/>
      <c r="T50" s="61"/>
      <c r="U50" s="61"/>
      <c r="V50" s="61"/>
      <c r="W50" s="61"/>
      <c r="X50" s="61"/>
      <c r="Y50" s="61"/>
      <c r="AA50" s="12"/>
      <c r="AB50" s="12"/>
      <c r="AC50" s="12"/>
      <c r="AD50" s="12"/>
      <c r="AE50" s="12"/>
    </row>
    <row r="51" spans="2:42" x14ac:dyDescent="0.2">
      <c r="B51" s="134" t="s">
        <v>259</v>
      </c>
      <c r="C51" s="134"/>
      <c r="D51" s="250">
        <f t="shared" ref="D51:Y51" si="43">D44+D48</f>
        <v>-35.4</v>
      </c>
      <c r="E51" s="250">
        <f t="shared" si="43"/>
        <v>-37.533835380835384</v>
      </c>
      <c r="F51" s="250">
        <f t="shared" si="43"/>
        <v>-39.577943623957893</v>
      </c>
      <c r="G51" s="250">
        <f t="shared" si="43"/>
        <v>-41.479748677057287</v>
      </c>
      <c r="H51" s="250">
        <f t="shared" si="43"/>
        <v>-43.168843959552355</v>
      </c>
      <c r="I51" s="250">
        <f t="shared" si="43"/>
        <v>-44.553740730679344</v>
      </c>
      <c r="J51" s="250">
        <f t="shared" si="43"/>
        <v>-45.661294466003241</v>
      </c>
      <c r="K51" s="250">
        <f t="shared" si="43"/>
        <v>-46.436580894268452</v>
      </c>
      <c r="L51" s="250">
        <f t="shared" si="43"/>
        <v>-46.823812270145361</v>
      </c>
      <c r="M51" s="250">
        <f t="shared" si="43"/>
        <v>-46.769505160308192</v>
      </c>
      <c r="N51" s="250">
        <f t="shared" si="43"/>
        <v>-46.226321456710338</v>
      </c>
      <c r="O51" s="250">
        <f t="shared" si="43"/>
        <v>-45.157242288312887</v>
      </c>
      <c r="P51" s="250">
        <f t="shared" si="43"/>
        <v>-43.539536937576088</v>
      </c>
      <c r="Q51" s="250">
        <f t="shared" si="43"/>
        <v>-41.367819577745301</v>
      </c>
      <c r="R51" s="250">
        <f t="shared" si="43"/>
        <v>-38.335568174653673</v>
      </c>
      <c r="S51" s="250">
        <f t="shared" si="43"/>
        <v>-34.246594570223564</v>
      </c>
      <c r="T51" s="250">
        <f t="shared" si="43"/>
        <v>-28.863951351726943</v>
      </c>
      <c r="U51" s="250">
        <f t="shared" si="43"/>
        <v>-21.901679505938137</v>
      </c>
      <c r="V51" s="250">
        <f t="shared" si="43"/>
        <v>-13.01489880652656</v>
      </c>
      <c r="W51" s="250">
        <f t="shared" si="43"/>
        <v>-1.7879090149897934</v>
      </c>
      <c r="X51" s="250">
        <f t="shared" si="43"/>
        <v>12.28009644077602</v>
      </c>
      <c r="Y51" s="250">
        <f t="shared" si="43"/>
        <v>29.792182347859509</v>
      </c>
      <c r="Z51" s="5"/>
      <c r="AA51" s="14">
        <f>IFERROR((E51/D51)-1,"")</f>
        <v>6.0277835616818765E-2</v>
      </c>
      <c r="AB51" s="14">
        <f>IFERROR((J51/D51)^(1/6)-1,"")</f>
        <v>4.3335919997392613E-2</v>
      </c>
      <c r="AC51" s="14">
        <f>IFERROR((O51/D51)^(1/11)-1,"")</f>
        <v>2.2377507527726603E-2</v>
      </c>
      <c r="AD51" s="14">
        <f>IFERROR((T51/D51)^(1/16)-1,"")</f>
        <v>-1.2676366954988194E-2</v>
      </c>
      <c r="AE51" s="136"/>
    </row>
    <row r="52" spans="2:42" collapsed="1" x14ac:dyDescent="0.2"/>
    <row r="53" spans="2:42" hidden="1" outlineLevel="1" x14ac:dyDescent="0.2">
      <c r="B53" s="3" t="s">
        <v>260</v>
      </c>
      <c r="C53" s="3"/>
      <c r="E53" s="50"/>
      <c r="F53" s="50"/>
      <c r="G53" s="50"/>
      <c r="H53" s="50"/>
      <c r="I53" s="50"/>
      <c r="J53" s="50"/>
      <c r="K53" s="50"/>
      <c r="L53" s="50"/>
      <c r="M53" s="50"/>
      <c r="N53" s="50"/>
      <c r="O53" s="50"/>
      <c r="P53" s="50"/>
      <c r="Q53" s="50"/>
      <c r="R53" s="50"/>
      <c r="S53" s="50"/>
      <c r="T53" s="50"/>
      <c r="U53" s="50"/>
      <c r="V53" s="50"/>
      <c r="W53" s="50"/>
      <c r="X53" s="50"/>
      <c r="Y53" s="50"/>
    </row>
    <row r="54" spans="2:42" hidden="1" outlineLevel="1" x14ac:dyDescent="0.2">
      <c r="B54" s="48" t="s">
        <v>261</v>
      </c>
      <c r="C54" s="48"/>
      <c r="E54" s="50">
        <f>D39*Macro!D52</f>
        <v>0</v>
      </c>
      <c r="F54" s="50">
        <f>E39*Macro!E52</f>
        <v>4.63125E-2</v>
      </c>
      <c r="G54" s="50">
        <f>F39*Macro!F52</f>
        <v>0.12943125</v>
      </c>
      <c r="H54" s="50">
        <f>G39*Macro!G52</f>
        <v>0.2658733593749999</v>
      </c>
      <c r="I54" s="50">
        <f>H39*Macro!H52</f>
        <v>0.47544412499999983</v>
      </c>
      <c r="J54" s="50">
        <f>I39*Macro!I52</f>
        <v>0.62402041406249964</v>
      </c>
      <c r="K54" s="50">
        <f>J39*Macro!J52</f>
        <v>0.80082619804687438</v>
      </c>
      <c r="L54" s="50">
        <f>K39*Macro!K52</f>
        <v>1.0038928411230459</v>
      </c>
      <c r="M54" s="50">
        <f>L39*Macro!L52</f>
        <v>1.2278381672197249</v>
      </c>
      <c r="N54" s="50">
        <f>M39*Macro!M52</f>
        <v>1.4631738159368384</v>
      </c>
      <c r="O54" s="50">
        <f>N39*Macro!N52</f>
        <v>1.6959514684722443</v>
      </c>
      <c r="P54" s="50">
        <f>O39*Macro!O52</f>
        <v>1.9079454020312745</v>
      </c>
      <c r="Q54" s="50">
        <f>P39*Macro!P52</f>
        <v>2.0775405488785004</v>
      </c>
      <c r="R54" s="50">
        <f>Q39*Macro!Q52</f>
        <v>2.5029829027550359</v>
      </c>
      <c r="S54" s="50">
        <f>R39*Macro!R52</f>
        <v>3.0786435751436496</v>
      </c>
      <c r="T54" s="50">
        <f>S39*Macro!S52</f>
        <v>3.8414574285962804</v>
      </c>
      <c r="U54" s="50">
        <f>T39*Macro!T52</f>
        <v>4.8363198203755049</v>
      </c>
      <c r="V54" s="50">
        <f>U39*Macro!U52</f>
        <v>6.1177224747035481</v>
      </c>
      <c r="W54" s="50">
        <f>V39*Macro!V52</f>
        <v>7.7517197384983678</v>
      </c>
      <c r="X54" s="50">
        <f>W39*Macro!W52</f>
        <v>9.8182915277216658</v>
      </c>
      <c r="Y54" s="50">
        <f>X39*Macro!X52</f>
        <v>12.41418254925027</v>
      </c>
    </row>
    <row r="55" spans="2:42" hidden="1" outlineLevel="1" x14ac:dyDescent="0.2">
      <c r="B55" s="48" t="s">
        <v>262</v>
      </c>
      <c r="C55" s="48"/>
      <c r="D55" s="50">
        <f t="shared" ref="D55:Y55" si="44">D31</f>
        <v>-2</v>
      </c>
      <c r="E55" s="50">
        <f t="shared" si="44"/>
        <v>-2.1530000000000009</v>
      </c>
      <c r="F55" s="50">
        <f t="shared" si="44"/>
        <v>-2.1101975000000008</v>
      </c>
      <c r="G55" s="50">
        <f t="shared" si="44"/>
        <v>-2.0516447500000004</v>
      </c>
      <c r="H55" s="50">
        <f t="shared" si="44"/>
        <v>-1.9760289556250004</v>
      </c>
      <c r="I55" s="50">
        <f t="shared" si="44"/>
        <v>-1.8820738980362497</v>
      </c>
      <c r="J55" s="50">
        <f t="shared" si="44"/>
        <v>-1.7540013258038181</v>
      </c>
      <c r="K55" s="50">
        <f t="shared" si="44"/>
        <v>-1.5992561498878</v>
      </c>
      <c r="L55" s="50">
        <f t="shared" si="44"/>
        <v>-1.4150069686014295</v>
      </c>
      <c r="M55" s="50">
        <f t="shared" si="44"/>
        <v>-1.1981766487157761</v>
      </c>
      <c r="N55" s="50">
        <f t="shared" si="44"/>
        <v>-0.94542290929218464</v>
      </c>
      <c r="O55" s="50">
        <f t="shared" si="44"/>
        <v>-0.6531174468078178</v>
      </c>
      <c r="P55" s="50">
        <f t="shared" si="44"/>
        <v>-0.3173234950976056</v>
      </c>
      <c r="Q55" s="50">
        <f t="shared" si="44"/>
        <v>6.6228294005568955E-2</v>
      </c>
      <c r="R55" s="50">
        <f t="shared" si="44"/>
        <v>0.50042727891737848</v>
      </c>
      <c r="S55" s="50">
        <f t="shared" si="44"/>
        <v>0.98056758949267131</v>
      </c>
      <c r="T55" s="50">
        <f t="shared" si="44"/>
        <v>1.5104727070664601</v>
      </c>
      <c r="U55" s="50">
        <f t="shared" si="44"/>
        <v>2.0942579350196109</v>
      </c>
      <c r="V55" s="50">
        <f t="shared" si="44"/>
        <v>2.7363517923607406</v>
      </c>
      <c r="W55" s="50">
        <f t="shared" si="44"/>
        <v>3.4415189434908244</v>
      </c>
      <c r="X55" s="50">
        <f t="shared" si="44"/>
        <v>4.2148847732284622</v>
      </c>
      <c r="Y55" s="50">
        <f t="shared" si="44"/>
        <v>5.0619617238710841</v>
      </c>
    </row>
    <row r="56" spans="2:42" hidden="1" outlineLevel="1" x14ac:dyDescent="0.2">
      <c r="B56" s="5" t="s">
        <v>72</v>
      </c>
      <c r="C56" s="5"/>
      <c r="D56" s="60">
        <f>SUM(D54:D55)</f>
        <v>-2</v>
      </c>
      <c r="E56" s="60">
        <f>SUM(E54:E55)</f>
        <v>-2.1530000000000009</v>
      </c>
      <c r="F56" s="60">
        <f t="shared" ref="F56:Y56" si="45">SUM(F54:F55)</f>
        <v>-2.0638850000000009</v>
      </c>
      <c r="G56" s="60">
        <f t="shared" si="45"/>
        <v>-1.9222135000000002</v>
      </c>
      <c r="H56" s="60">
        <f t="shared" si="45"/>
        <v>-1.7101555962500004</v>
      </c>
      <c r="I56" s="60">
        <f t="shared" si="45"/>
        <v>-1.4066297730362498</v>
      </c>
      <c r="J56" s="60">
        <f t="shared" si="45"/>
        <v>-1.1299809117413184</v>
      </c>
      <c r="K56" s="60">
        <f t="shared" si="45"/>
        <v>-0.79842995184092558</v>
      </c>
      <c r="L56" s="60">
        <f t="shared" si="45"/>
        <v>-0.41111412747838361</v>
      </c>
      <c r="M56" s="60">
        <f t="shared" si="45"/>
        <v>2.9661518503948825E-2</v>
      </c>
      <c r="N56" s="60">
        <f t="shared" si="45"/>
        <v>0.51775090664465373</v>
      </c>
      <c r="O56" s="60">
        <f t="shared" si="45"/>
        <v>1.0428340216644265</v>
      </c>
      <c r="P56" s="60">
        <f t="shared" si="45"/>
        <v>1.5906219069336689</v>
      </c>
      <c r="Q56" s="60">
        <f t="shared" si="45"/>
        <v>2.1437688428840693</v>
      </c>
      <c r="R56" s="60">
        <f t="shared" si="45"/>
        <v>3.0034101816724146</v>
      </c>
      <c r="S56" s="60">
        <f t="shared" si="45"/>
        <v>4.0592111646363209</v>
      </c>
      <c r="T56" s="60">
        <f t="shared" si="45"/>
        <v>5.3519301356627409</v>
      </c>
      <c r="U56" s="60">
        <f t="shared" si="45"/>
        <v>6.9305777553951158</v>
      </c>
      <c r="V56" s="60">
        <f t="shared" si="45"/>
        <v>8.8540742670642878</v>
      </c>
      <c r="W56" s="60">
        <f t="shared" si="45"/>
        <v>11.193238681989193</v>
      </c>
      <c r="X56" s="60">
        <f t="shared" si="45"/>
        <v>14.033176300950128</v>
      </c>
      <c r="Y56" s="60">
        <f t="shared" si="45"/>
        <v>17.476144273121356</v>
      </c>
    </row>
    <row r="57" spans="2:42" ht="16" collapsed="1" x14ac:dyDescent="0.2">
      <c r="B57" s="315" t="s">
        <v>114</v>
      </c>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row>
    <row r="87" spans="2:40" ht="16" x14ac:dyDescent="0.2">
      <c r="B87" s="315" t="s">
        <v>115</v>
      </c>
      <c r="C87" s="315"/>
      <c r="D87" s="315"/>
      <c r="E87" s="315"/>
      <c r="F87" s="315"/>
      <c r="G87" s="315"/>
      <c r="H87" s="315"/>
      <c r="I87" s="315"/>
      <c r="J87" s="315"/>
      <c r="K87" s="315"/>
      <c r="L87" s="315"/>
      <c r="M87" s="315"/>
      <c r="N87" s="315"/>
      <c r="O87" s="315"/>
      <c r="P87" s="315"/>
      <c r="Q87" s="315"/>
      <c r="R87" s="315"/>
      <c r="S87" s="315"/>
      <c r="T87" s="315"/>
      <c r="U87" s="315"/>
      <c r="V87" s="315"/>
      <c r="W87" s="315"/>
      <c r="X87" s="315"/>
      <c r="Y87" s="315"/>
      <c r="Z87" s="315"/>
      <c r="AA87" s="315"/>
      <c r="AB87" s="315"/>
      <c r="AC87" s="315"/>
      <c r="AD87" s="315"/>
      <c r="AE87" s="315"/>
      <c r="AF87" s="315"/>
      <c r="AG87" s="315"/>
      <c r="AH87" s="315"/>
      <c r="AI87" s="315"/>
      <c r="AJ87" s="315"/>
      <c r="AK87" s="315"/>
      <c r="AL87" s="315"/>
      <c r="AM87" s="315"/>
      <c r="AN87" s="315"/>
    </row>
    <row r="89" spans="2:40" x14ac:dyDescent="0.2">
      <c r="C89" s="2">
        <f>$Y$51</f>
        <v>29.792182347859509</v>
      </c>
      <c r="D89" s="75">
        <f>$AE$44</f>
        <v>0.26195248433534157</v>
      </c>
      <c r="E89" s="241">
        <f>$Y$24</f>
        <v>5.8420971115518769</v>
      </c>
    </row>
    <row r="90" spans="2:40" x14ac:dyDescent="0.2">
      <c r="B90" t="s">
        <v>3</v>
      </c>
      <c r="C90" s="2">
        <f t="dataTable" ref="C90:E94" dt2D="0" dtr="0" r1="T1"/>
        <v>-30.394802272894253</v>
      </c>
      <c r="D90" s="75">
        <v>3.1941031941031817E-2</v>
      </c>
      <c r="E90" s="241">
        <v>0</v>
      </c>
    </row>
    <row r="91" spans="2:40" x14ac:dyDescent="0.2">
      <c r="B91" t="s">
        <v>4</v>
      </c>
      <c r="C91" s="2">
        <v>-23.792021414621598</v>
      </c>
      <c r="D91" s="75">
        <v>0.13033183254111314</v>
      </c>
      <c r="E91" s="241">
        <v>0.5</v>
      </c>
    </row>
    <row r="92" spans="2:40" x14ac:dyDescent="0.2">
      <c r="B92" t="s">
        <v>5</v>
      </c>
      <c r="C92" s="2">
        <v>-17.230478209606311</v>
      </c>
      <c r="D92" s="75">
        <v>0.16400256898794052</v>
      </c>
      <c r="E92" s="241">
        <v>1</v>
      </c>
    </row>
    <row r="93" spans="2:40" x14ac:dyDescent="0.2">
      <c r="B93" t="s">
        <v>6</v>
      </c>
      <c r="C93" s="2">
        <v>1.1870932648287535</v>
      </c>
      <c r="D93" s="75">
        <v>0.22810780516230111</v>
      </c>
      <c r="E93" s="241">
        <v>3.2632025077939377</v>
      </c>
    </row>
    <row r="94" spans="2:40" x14ac:dyDescent="0.2">
      <c r="B94" t="s">
        <v>7</v>
      </c>
      <c r="C94" s="2">
        <v>29.792182347859509</v>
      </c>
      <c r="D94" s="75">
        <v>0.26195248433534157</v>
      </c>
      <c r="E94" s="241">
        <v>5.8420971115518769</v>
      </c>
    </row>
    <row r="101" spans="27:27" x14ac:dyDescent="0.2">
      <c r="AA101" s="4" t="s">
        <v>263</v>
      </c>
    </row>
  </sheetData>
  <mergeCells count="7">
    <mergeCell ref="AJ3:AN3"/>
    <mergeCell ref="B57:AN57"/>
    <mergeCell ref="B87:AN87"/>
    <mergeCell ref="AA15:AE15"/>
    <mergeCell ref="AG15:AH15"/>
    <mergeCell ref="B3:AE3"/>
    <mergeCell ref="B14:AE14"/>
  </mergeCells>
  <conditionalFormatting sqref="D8:E8 J8 O8 T8">
    <cfRule type="expression" dxfId="0" priority="10">
      <formula>D8=$T$1</formula>
    </cfRule>
  </conditionalFormatting>
  <hyperlinks>
    <hyperlink ref="AJ1" location="SelectedCase" display="SelectedCase" xr:uid="{BC139007-7330-4D88-9742-E98368C72F91}"/>
  </hyperlinks>
  <pageMargins left="0.7" right="0.7" top="0.75" bottom="0.75" header="0.3" footer="0.3"/>
  <pageSetup scale="53"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43E2166-AF5A-4CC1-8090-7DE7E622ECD8}">
          <x14:formula1>
            <xm:f>Cover!$A$5:$E$5</xm:f>
          </x14:formula1>
          <xm:sqref>T1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Cover</vt:lpstr>
      <vt:lpstr>BTC</vt:lpstr>
      <vt:lpstr>Macro</vt:lpstr>
      <vt:lpstr>Individual</vt:lpstr>
      <vt:lpstr>Corporate</vt:lpstr>
      <vt:lpstr>Institution</vt:lpstr>
      <vt:lpstr>Indebted Nation</vt:lpstr>
      <vt:lpstr>Wealthy Nation</vt:lpstr>
      <vt:lpstr>United States</vt:lpstr>
      <vt:lpstr>CaseOptions</vt:lpstr>
      <vt:lpstr>BTC!Print_Area</vt:lpstr>
      <vt:lpstr>Corporate!Print_Area</vt:lpstr>
      <vt:lpstr>Cover!Print_Area</vt:lpstr>
      <vt:lpstr>'Indebted Nation'!Print_Area</vt:lpstr>
      <vt:lpstr>Individual!Print_Area</vt:lpstr>
      <vt:lpstr>Institution!Print_Area</vt:lpstr>
      <vt:lpstr>Macro!Print_Area</vt:lpstr>
      <vt:lpstr>'United States'!Print_Area</vt:lpstr>
      <vt:lpstr>'Wealthy Nation'!Print_Area</vt:lpstr>
      <vt:lpstr>SelectedCase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Jain, Chaitanya</dc:creator>
  <cp:keywords/>
  <dc:description/>
  <cp:lastModifiedBy>Pillutla Venkata Sathya, Rohit</cp:lastModifiedBy>
  <cp:revision/>
  <dcterms:created xsi:type="dcterms:W3CDTF">2024-07-16T14:45:16Z</dcterms:created>
  <dcterms:modified xsi:type="dcterms:W3CDTF">2024-08-30T13:59:47Z</dcterms:modified>
  <cp:category/>
  <cp:contentStatus/>
</cp:coreProperties>
</file>